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품질\Desktop\"/>
    </mc:Choice>
  </mc:AlternateContent>
  <bookViews>
    <workbookView xWindow="22935" yWindow="1890" windowWidth="23250" windowHeight="13170"/>
  </bookViews>
  <sheets>
    <sheet name="입주지연보상금" sheetId="1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2" i="12" l="1"/>
  <c r="Y31" i="12"/>
  <c r="Y30" i="12"/>
  <c r="Y29" i="12"/>
  <c r="Y28" i="12"/>
  <c r="Y27" i="12"/>
  <c r="Y26" i="12"/>
  <c r="Y25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Y10" i="12"/>
  <c r="Y9" i="12"/>
  <c r="Y8" i="12"/>
  <c r="Y7" i="12"/>
  <c r="Y6" i="12"/>
  <c r="Y5" i="12"/>
  <c r="Y4" i="12"/>
  <c r="Y3" i="12"/>
  <c r="W32" i="12"/>
  <c r="W31" i="12"/>
  <c r="W30" i="12"/>
  <c r="W29" i="12"/>
  <c r="W28" i="12"/>
  <c r="W27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7" i="12"/>
  <c r="W6" i="12"/>
  <c r="W5" i="12"/>
  <c r="W4" i="12"/>
  <c r="W3" i="12"/>
  <c r="U32" i="12"/>
  <c r="U31" i="12"/>
  <c r="U30" i="12"/>
  <c r="U29" i="12"/>
  <c r="U28" i="12"/>
  <c r="U27" i="12"/>
  <c r="U26" i="12"/>
  <c r="U25" i="12"/>
  <c r="U24" i="12"/>
  <c r="U23" i="12"/>
  <c r="U22" i="12"/>
  <c r="U21" i="12"/>
  <c r="U20" i="12"/>
  <c r="U19" i="12"/>
  <c r="U18" i="12"/>
  <c r="U17" i="12"/>
  <c r="U16" i="12"/>
  <c r="U15" i="12"/>
  <c r="U14" i="12"/>
  <c r="U13" i="12"/>
  <c r="U12" i="12"/>
  <c r="U11" i="12"/>
  <c r="U10" i="12"/>
  <c r="U9" i="12"/>
  <c r="U8" i="12"/>
  <c r="U7" i="12"/>
  <c r="U6" i="12"/>
  <c r="U5" i="12"/>
  <c r="U4" i="12"/>
  <c r="U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S5" i="12"/>
  <c r="S4" i="12"/>
  <c r="S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AG4" i="12" l="1"/>
  <c r="AG5" i="12"/>
  <c r="AG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" i="12"/>
  <c r="AE4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" i="12"/>
  <c r="O32" i="12" l="1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I32" i="12" l="1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I3" i="12"/>
  <c r="G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</calcChain>
</file>

<file path=xl/sharedStrings.xml><?xml version="1.0" encoding="utf-8"?>
<sst xmlns="http://schemas.openxmlformats.org/spreadsheetml/2006/main" count="31" uniqueCount="14">
  <si>
    <t>1개월</t>
  </si>
  <si>
    <t>2개월</t>
  </si>
  <si>
    <t>3개월</t>
  </si>
  <si>
    <t>4개월</t>
  </si>
  <si>
    <t>일</t>
  </si>
  <si>
    <r>
      <t>5</t>
    </r>
    <r>
      <rPr>
        <b/>
        <sz val="8"/>
        <color rgb="FF000000"/>
        <rFont val="돋움"/>
        <family val="3"/>
        <charset val="129"/>
      </rPr>
      <t>개월</t>
    </r>
    <phoneticPr fontId="2" alignment="center"/>
  </si>
  <si>
    <r>
      <t>6</t>
    </r>
    <r>
      <rPr>
        <b/>
        <sz val="8"/>
        <color rgb="FF000000"/>
        <rFont val="돋움"/>
        <family val="3"/>
        <charset val="129"/>
      </rPr>
      <t>개월</t>
    </r>
    <phoneticPr fontId="2" alignment="center"/>
  </si>
  <si>
    <r>
      <t>7</t>
    </r>
    <r>
      <rPr>
        <b/>
        <sz val="8"/>
        <color rgb="FF000000"/>
        <rFont val="돋움"/>
        <family val="3"/>
        <charset val="129"/>
      </rPr>
      <t>개월</t>
    </r>
    <phoneticPr fontId="2" alignment="center"/>
  </si>
  <si>
    <t>납입대금</t>
    <phoneticPr fontId="2" alignment="center"/>
  </si>
  <si>
    <r>
      <t>8</t>
    </r>
    <r>
      <rPr>
        <b/>
        <sz val="8"/>
        <color rgb="FF000000"/>
        <rFont val="돋움"/>
        <family val="3"/>
        <charset val="129"/>
      </rPr>
      <t>개월</t>
    </r>
    <phoneticPr fontId="2" alignment="center"/>
  </si>
  <si>
    <r>
      <t>9</t>
    </r>
    <r>
      <rPr>
        <b/>
        <sz val="8"/>
        <color rgb="FF000000"/>
        <rFont val="돋움"/>
        <family val="3"/>
        <charset val="129"/>
      </rPr>
      <t>개월</t>
    </r>
    <phoneticPr fontId="2" alignment="center"/>
  </si>
  <si>
    <r>
      <t>10</t>
    </r>
    <r>
      <rPr>
        <b/>
        <sz val="8"/>
        <color rgb="FF000000"/>
        <rFont val="돋움"/>
        <family val="3"/>
        <charset val="129"/>
      </rPr>
      <t>개월</t>
    </r>
    <phoneticPr fontId="2" alignment="center"/>
  </si>
  <si>
    <r>
      <t>11</t>
    </r>
    <r>
      <rPr>
        <b/>
        <sz val="8"/>
        <color rgb="FF000000"/>
        <rFont val="돋움"/>
        <family val="3"/>
        <charset val="129"/>
      </rPr>
      <t>개월</t>
    </r>
    <phoneticPr fontId="2" alignment="center"/>
  </si>
  <si>
    <r>
      <t>12</t>
    </r>
    <r>
      <rPr>
        <b/>
        <sz val="8"/>
        <color rgb="FF000000"/>
        <rFont val="돋움"/>
        <family val="3"/>
        <charset val="129"/>
      </rPr>
      <t>개월</t>
    </r>
    <phoneticPr fontId="2" alignment="center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</si>
</sst>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0"/>
      <color rgb="FF000000"/>
      <name val="Arial"/>
    </font>
    <font>
      <sz val="11"/>
      <color theme="1"/>
      <name val="Arial"/>
      <family val="2"/>
      <charset val="129"/>
      <scheme val="minor"/>
    </font>
    <font>
      <sz val="6"/>
      <name val="Yu Gothic"/>
      <family val="2"/>
      <charset val="128"/>
    </font>
    <font>
      <u/>
      <sz val="10"/>
      <color theme="1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돋움"/>
      <family val="3"/>
      <charset val="129"/>
    </font>
    <font>
      <sz val="8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2">
      <alignment vertical="center"/>
    </xf>
    <xf numFmtId="0" fontId="1" fillId="3" borderId="2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2" xfId="0" applyBorder="1"/>
    <xf numFmtId="41" fontId="0" fillId="0" borderId="2" xfId="0" applyNumberFormat="1" applyBorder="1"/>
    <xf numFmtId="0" fontId="5" fillId="2" borderId="3" xfId="0" applyFont="1" applyFill="1" applyBorder="1"/>
    <xf numFmtId="41" fontId="4" fillId="0" borderId="3" xfId="0" applyNumberFormat="1" applyFont="1" applyBorder="1"/>
    <xf numFmtId="0" fontId="5" fillId="2" borderId="3" xfId="0" applyNumberFormat="1" applyFont="1" applyFill="1" applyBorder="1"/>
    <xf numFmtId="41" fontId="4" fillId="0" borderId="2" xfId="0" applyNumberFormat="1" applyFont="1" applyBorder="1"/>
    <xf numFmtId="41" fontId="4" fillId="4" borderId="3" xfId="0" applyNumberFormat="1" applyFont="1" applyFill="1" applyBorder="1"/>
    <xf numFmtId="0" fontId="7" fillId="0" borderId="3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4">
    <cellStyle name="20% - 강조색4 2" xfId="3"/>
    <cellStyle name="Hyperlink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abSelected="1" zoomScaleNormal="60" zoomScaleSheetLayoutView="100" workbookViewId="0">
      <selection activeCell="X40" sqref="X40"/>
    </sheetView>
  </sheetViews>
  <sheetFormatPr defaultRowHeight="12.75" x14ac:dyDescent="0.2"/>
  <cols>
    <col min="1" max="1" width="10.5703125" customWidth="1"/>
    <col min="2" max="2" width="4.5703125" bestFit="1" customWidth="1"/>
    <col min="3" max="3" width="9.7109375" bestFit="1" customWidth="1"/>
    <col min="4" max="4" width="4.5703125" bestFit="1" customWidth="1"/>
    <col min="5" max="5" width="9.7109375" bestFit="1" customWidth="1"/>
    <col min="6" max="6" width="4.5703125" bestFit="1" customWidth="1"/>
    <col min="7" max="7" width="9.7109375" bestFit="1" customWidth="1"/>
    <col min="8" max="8" width="5.42578125" bestFit="1" customWidth="1"/>
    <col min="9" max="9" width="10.5703125" bestFit="1" customWidth="1"/>
    <col min="10" max="10" width="5.42578125" bestFit="1" customWidth="1"/>
    <col min="11" max="11" width="10.5703125" bestFit="1" customWidth="1"/>
    <col min="12" max="12" width="5.42578125" bestFit="1" customWidth="1"/>
    <col min="13" max="13" width="10.5703125" bestFit="1" customWidth="1"/>
    <col min="14" max="14" width="5.42578125" bestFit="1" customWidth="1"/>
    <col min="15" max="15" width="10.5703125" bestFit="1" customWidth="1"/>
    <col min="16" max="16" width="5.42578125" bestFit="1" customWidth="1"/>
    <col min="17" max="17" width="10.5703125" bestFit="1" customWidth="1"/>
    <col min="18" max="18" width="5.42578125" bestFit="1" customWidth="1"/>
    <col min="19" max="19" width="10.5703125" bestFit="1" customWidth="1"/>
    <col min="20" max="20" width="5.42578125" bestFit="1" customWidth="1"/>
    <col min="21" max="21" width="10.5703125" bestFit="1" customWidth="1"/>
    <col min="22" max="22" width="5.42578125" bestFit="1" customWidth="1"/>
    <col min="23" max="23" width="10.5703125" bestFit="1" customWidth="1"/>
    <col min="24" max="24" width="5.42578125" bestFit="1" customWidth="1"/>
    <col min="25" max="25" width="10.5703125" bestFit="1" customWidth="1"/>
    <col min="26" max="26" width="2.140625" customWidth="1"/>
    <col min="28" max="28" width="5.42578125" bestFit="1" customWidth="1"/>
    <col min="29" max="29" width="10.5703125" bestFit="1" customWidth="1"/>
    <col min="30" max="30" width="5.42578125" bestFit="1" customWidth="1"/>
    <col min="31" max="31" width="10.5703125" bestFit="1" customWidth="1"/>
    <col min="32" max="32" width="5.42578125" bestFit="1" customWidth="1"/>
    <col min="33" max="33" width="10.5703125" bestFit="1" customWidth="1"/>
  </cols>
  <sheetData>
    <row r="1" spans="1:33" x14ac:dyDescent="0.2">
      <c r="A1" s="8" t="s">
        <v>8</v>
      </c>
      <c r="B1" s="9" t="s">
        <v>4</v>
      </c>
      <c r="C1" s="3" t="s">
        <v>0</v>
      </c>
      <c r="D1" s="9" t="s">
        <v>4</v>
      </c>
      <c r="E1" s="3" t="s">
        <v>1</v>
      </c>
      <c r="F1" s="9" t="s">
        <v>4</v>
      </c>
      <c r="G1" s="3" t="s">
        <v>2</v>
      </c>
      <c r="H1" s="9" t="s">
        <v>4</v>
      </c>
      <c r="I1" s="3" t="s">
        <v>3</v>
      </c>
      <c r="J1" s="9" t="s">
        <v>4</v>
      </c>
      <c r="K1" s="3" t="s">
        <v>5</v>
      </c>
      <c r="L1" s="9" t="s">
        <v>4</v>
      </c>
      <c r="M1" s="3" t="s">
        <v>6</v>
      </c>
      <c r="N1" s="9" t="s">
        <v>4</v>
      </c>
      <c r="O1" s="3" t="s">
        <v>7</v>
      </c>
      <c r="P1" s="9" t="s">
        <v>4</v>
      </c>
      <c r="Q1" s="3" t="s">
        <v>9</v>
      </c>
      <c r="R1" s="9" t="s">
        <v>4</v>
      </c>
      <c r="S1" s="3" t="s">
        <v>10</v>
      </c>
      <c r="T1" s="9" t="s">
        <v>4</v>
      </c>
      <c r="U1" s="3" t="s">
        <v>11</v>
      </c>
      <c r="V1" s="9" t="s">
        <v>4</v>
      </c>
      <c r="W1" s="3" t="s">
        <v>12</v>
      </c>
      <c r="X1" s="9" t="s">
        <v>4</v>
      </c>
      <c r="Y1" s="3" t="s">
        <v>13</v>
      </c>
      <c r="AB1" s="9" t="s">
        <v>4</v>
      </c>
      <c r="AC1" s="3" t="s">
        <v>5</v>
      </c>
      <c r="AD1" s="9" t="s">
        <v>4</v>
      </c>
      <c r="AE1" s="3" t="s">
        <v>6</v>
      </c>
      <c r="AF1" s="9" t="s">
        <v>4</v>
      </c>
      <c r="AG1" s="3" t="s">
        <v>7</v>
      </c>
    </row>
    <row r="2" spans="1:33" x14ac:dyDescent="0.2">
      <c r="A2" s="4">
        <v>299600000</v>
      </c>
      <c r="B2" s="9"/>
      <c r="C2" s="5">
        <v>9.0500000000000007</v>
      </c>
      <c r="D2" s="9"/>
      <c r="E2" s="5">
        <v>10.050000000000001</v>
      </c>
      <c r="F2" s="9"/>
      <c r="G2" s="5">
        <v>11.05</v>
      </c>
      <c r="H2" s="9"/>
      <c r="I2" s="5">
        <v>12.05</v>
      </c>
      <c r="J2" s="9"/>
      <c r="K2" s="5">
        <v>12.05</v>
      </c>
      <c r="L2" s="9"/>
      <c r="M2" s="5">
        <v>12.05</v>
      </c>
      <c r="N2" s="9"/>
      <c r="O2" s="5">
        <v>12.05</v>
      </c>
      <c r="P2" s="9"/>
      <c r="Q2" s="5">
        <v>12.05</v>
      </c>
      <c r="R2" s="9"/>
      <c r="S2" s="5">
        <v>12.05</v>
      </c>
      <c r="T2" s="9"/>
      <c r="U2" s="5">
        <v>12.05</v>
      </c>
      <c r="V2" s="9"/>
      <c r="W2" s="5">
        <v>12.05</v>
      </c>
      <c r="X2" s="9"/>
      <c r="Y2" s="5">
        <v>12.05</v>
      </c>
      <c r="AB2" s="9"/>
      <c r="AC2" s="5">
        <v>13.05</v>
      </c>
      <c r="AD2" s="9"/>
      <c r="AE2" s="5">
        <v>14.05</v>
      </c>
      <c r="AF2" s="9"/>
      <c r="AG2" s="5">
        <v>15.05</v>
      </c>
    </row>
    <row r="3" spans="1:33" x14ac:dyDescent="0.2">
      <c r="A3" s="6"/>
      <c r="B3" s="4">
        <v>1</v>
      </c>
      <c r="C3" s="7">
        <f>ROUNDUP($A$2*0.0905/365*B3,0)</f>
        <v>74285</v>
      </c>
      <c r="D3" s="4">
        <v>31</v>
      </c>
      <c r="E3" s="7">
        <f>ROUNDUP($A$2*0.1005/365*D3,0)</f>
        <v>2557271</v>
      </c>
      <c r="F3" s="4">
        <v>61</v>
      </c>
      <c r="G3" s="7">
        <f>ROUNDUP($A$2*0.1105/365*F3,0)</f>
        <v>5532751</v>
      </c>
      <c r="H3" s="4">
        <v>91</v>
      </c>
      <c r="I3" s="7">
        <f>ROUNDUP($A$2*0.1205/365*H3,0)</f>
        <v>9000723</v>
      </c>
      <c r="J3" s="4">
        <v>121</v>
      </c>
      <c r="K3" s="7">
        <f>ROUNDUP($A$2*0.1205/365*J3,0)</f>
        <v>11967994</v>
      </c>
      <c r="L3" s="4">
        <v>151</v>
      </c>
      <c r="M3" s="7">
        <f>ROUNDUP($A$2*0.1205/365*L3,0)</f>
        <v>14935266</v>
      </c>
      <c r="N3" s="4">
        <v>181</v>
      </c>
      <c r="O3" s="7">
        <f>ROUNDUP($A$2*0.1205/365*N3,0)</f>
        <v>17902537</v>
      </c>
      <c r="P3" s="4">
        <v>211</v>
      </c>
      <c r="Q3" s="7">
        <f>ROUNDUP($A$2*0.1205/365*P3,0)</f>
        <v>20869808</v>
      </c>
      <c r="R3" s="4">
        <v>241</v>
      </c>
      <c r="S3" s="7">
        <f>ROUNDUP($A$2*0.1205/365*R3,0)</f>
        <v>23837079</v>
      </c>
      <c r="T3" s="4">
        <v>271</v>
      </c>
      <c r="U3" s="7">
        <f>ROUNDUP($A$2*0.1205/365*T3,0)</f>
        <v>26804351</v>
      </c>
      <c r="V3" s="4">
        <v>301</v>
      </c>
      <c r="W3" s="7">
        <f>ROUNDUP($A$2*0.1205/365*V3,0)</f>
        <v>29771622</v>
      </c>
      <c r="X3" s="4">
        <v>331</v>
      </c>
      <c r="Y3" s="7">
        <f>ROUNDUP($A$2*0.1205/365*X3,0)</f>
        <v>32738893</v>
      </c>
      <c r="AB3" s="4">
        <v>121</v>
      </c>
      <c r="AC3" s="7">
        <f>ROUNDUP($A$2*0.1305/365*AB3,0)</f>
        <v>12961189</v>
      </c>
      <c r="AD3" s="4">
        <v>151</v>
      </c>
      <c r="AE3" s="7">
        <f>ROUNDUP($A$2*0.1405/365*AD3,0)</f>
        <v>17414148</v>
      </c>
      <c r="AF3" s="4">
        <v>181</v>
      </c>
      <c r="AG3" s="7">
        <f>ROUNDUP($A$2*0.1505/365*AF3,0)</f>
        <v>22359600</v>
      </c>
    </row>
    <row r="4" spans="1:33" x14ac:dyDescent="0.2">
      <c r="A4" s="6"/>
      <c r="B4" s="4">
        <v>2</v>
      </c>
      <c r="C4" s="7">
        <f t="shared" ref="C4:C32" si="0">ROUNDUP($A$2*0.0905/365*B4,0)</f>
        <v>148569</v>
      </c>
      <c r="D4" s="4">
        <v>32</v>
      </c>
      <c r="E4" s="7">
        <f t="shared" ref="E4:E32" si="1">ROUNDUP($A$2*0.1005/365*D4,0)</f>
        <v>2639764</v>
      </c>
      <c r="F4" s="4">
        <v>62</v>
      </c>
      <c r="G4" s="7">
        <f t="shared" ref="G4:G32" si="2">ROUNDUP($A$2*0.1105/365*F4,0)</f>
        <v>5623451</v>
      </c>
      <c r="H4" s="4">
        <v>92</v>
      </c>
      <c r="I4" s="7">
        <f t="shared" ref="I4:I32" si="3">ROUNDUP($A$2*0.1205/365*H4,0)</f>
        <v>9099632</v>
      </c>
      <c r="J4" s="4">
        <v>122</v>
      </c>
      <c r="K4" s="7">
        <f t="shared" ref="K4:K32" si="4">ROUNDUP($A$2*0.1205/365*J4,0)</f>
        <v>12066904</v>
      </c>
      <c r="L4" s="4">
        <v>152</v>
      </c>
      <c r="M4" s="7">
        <f t="shared" ref="M4:M32" si="5">ROUNDUP($A$2*0.1205/365*L4,0)</f>
        <v>15034175</v>
      </c>
      <c r="N4" s="4">
        <v>182</v>
      </c>
      <c r="O4" s="7">
        <f t="shared" ref="O4:O32" si="6">ROUNDUP($A$2*0.1205/365*N4,0)</f>
        <v>18001446</v>
      </c>
      <c r="P4" s="4">
        <v>212</v>
      </c>
      <c r="Q4" s="7">
        <f t="shared" ref="Q4:Q32" si="7">ROUNDUP($A$2*0.1205/365*P4,0)</f>
        <v>20968717</v>
      </c>
      <c r="R4" s="4">
        <v>242</v>
      </c>
      <c r="S4" s="7">
        <f t="shared" ref="S4:S32" si="8">ROUNDUP($A$2*0.1205/365*R4,0)</f>
        <v>23935988</v>
      </c>
      <c r="T4" s="4">
        <v>272</v>
      </c>
      <c r="U4" s="7">
        <f t="shared" ref="U4:U32" si="9">ROUNDUP($A$2*0.1205/365*T4,0)</f>
        <v>26903260</v>
      </c>
      <c r="V4" s="4">
        <v>302</v>
      </c>
      <c r="W4" s="7">
        <f t="shared" ref="W4:W32" si="10">ROUNDUP($A$2*0.1205/365*V4,0)</f>
        <v>29870531</v>
      </c>
      <c r="X4" s="4">
        <v>332</v>
      </c>
      <c r="Y4" s="7">
        <f t="shared" ref="Y4:Y32" si="11">ROUNDUP($A$2*0.1205/365*X4,0)</f>
        <v>32837802</v>
      </c>
      <c r="AB4" s="4">
        <v>122</v>
      </c>
      <c r="AC4" s="7">
        <f t="shared" ref="AC4:AC32" si="12">ROUNDUP($A$2*0.1305/365*AB4,0)</f>
        <v>13068306</v>
      </c>
      <c r="AD4" s="4">
        <v>152</v>
      </c>
      <c r="AE4" s="7">
        <f t="shared" ref="AE4:AE32" si="13">ROUNDUP($A$2*0.1405/365*AD4,0)</f>
        <v>17529473</v>
      </c>
      <c r="AF4" s="4">
        <v>182</v>
      </c>
      <c r="AG4" s="7">
        <f t="shared" ref="AG4:AG32" si="14">ROUNDUP($A$2*0.1505/365*AF4,0)</f>
        <v>22483134</v>
      </c>
    </row>
    <row r="5" spans="1:33" x14ac:dyDescent="0.2">
      <c r="A5" s="6"/>
      <c r="B5" s="4">
        <v>3</v>
      </c>
      <c r="C5" s="7">
        <f t="shared" si="0"/>
        <v>222854</v>
      </c>
      <c r="D5" s="4">
        <v>33</v>
      </c>
      <c r="E5" s="7">
        <f t="shared" si="1"/>
        <v>2722256</v>
      </c>
      <c r="F5" s="4">
        <v>63</v>
      </c>
      <c r="G5" s="7">
        <f t="shared" si="2"/>
        <v>5714152</v>
      </c>
      <c r="H5" s="4">
        <v>93</v>
      </c>
      <c r="I5" s="7">
        <f t="shared" si="3"/>
        <v>9198541</v>
      </c>
      <c r="J5" s="4">
        <v>123</v>
      </c>
      <c r="K5" s="7">
        <f t="shared" si="4"/>
        <v>12165813</v>
      </c>
      <c r="L5" s="4">
        <v>153</v>
      </c>
      <c r="M5" s="7">
        <f t="shared" si="5"/>
        <v>15133084</v>
      </c>
      <c r="N5" s="4">
        <v>183</v>
      </c>
      <c r="O5" s="7">
        <f t="shared" si="6"/>
        <v>18100355</v>
      </c>
      <c r="P5" s="4">
        <v>213</v>
      </c>
      <c r="Q5" s="7">
        <f t="shared" si="7"/>
        <v>21067626</v>
      </c>
      <c r="R5" s="4">
        <v>243</v>
      </c>
      <c r="S5" s="7">
        <f t="shared" si="8"/>
        <v>24034897</v>
      </c>
      <c r="T5" s="4">
        <v>273</v>
      </c>
      <c r="U5" s="7">
        <f t="shared" si="9"/>
        <v>27002169</v>
      </c>
      <c r="V5" s="4">
        <v>303</v>
      </c>
      <c r="W5" s="7">
        <f t="shared" si="10"/>
        <v>29969440</v>
      </c>
      <c r="X5" s="4">
        <v>333</v>
      </c>
      <c r="Y5" s="7">
        <f t="shared" si="11"/>
        <v>32936711</v>
      </c>
      <c r="AB5" s="4">
        <v>123</v>
      </c>
      <c r="AC5" s="7">
        <f t="shared" si="12"/>
        <v>13175424</v>
      </c>
      <c r="AD5" s="4">
        <v>153</v>
      </c>
      <c r="AE5" s="7">
        <f t="shared" si="13"/>
        <v>17644799</v>
      </c>
      <c r="AF5" s="4">
        <v>183</v>
      </c>
      <c r="AG5" s="7">
        <f t="shared" si="14"/>
        <v>22606667</v>
      </c>
    </row>
    <row r="6" spans="1:33" x14ac:dyDescent="0.2">
      <c r="A6" s="6"/>
      <c r="B6" s="4">
        <v>4</v>
      </c>
      <c r="C6" s="7">
        <f t="shared" si="0"/>
        <v>297138</v>
      </c>
      <c r="D6" s="4">
        <v>34</v>
      </c>
      <c r="E6" s="7">
        <f t="shared" si="1"/>
        <v>2804749</v>
      </c>
      <c r="F6" s="4">
        <v>64</v>
      </c>
      <c r="G6" s="7">
        <f t="shared" si="2"/>
        <v>5804853</v>
      </c>
      <c r="H6" s="4">
        <v>94</v>
      </c>
      <c r="I6" s="7">
        <f t="shared" si="3"/>
        <v>9297450</v>
      </c>
      <c r="J6" s="4">
        <v>124</v>
      </c>
      <c r="K6" s="7">
        <f t="shared" si="4"/>
        <v>12264722</v>
      </c>
      <c r="L6" s="4">
        <v>154</v>
      </c>
      <c r="M6" s="7">
        <f t="shared" si="5"/>
        <v>15231993</v>
      </c>
      <c r="N6" s="4">
        <v>184</v>
      </c>
      <c r="O6" s="7">
        <f t="shared" si="6"/>
        <v>18199264</v>
      </c>
      <c r="P6" s="4">
        <v>214</v>
      </c>
      <c r="Q6" s="7">
        <f t="shared" si="7"/>
        <v>21166535</v>
      </c>
      <c r="R6" s="4">
        <v>244</v>
      </c>
      <c r="S6" s="7">
        <f t="shared" si="8"/>
        <v>24133807</v>
      </c>
      <c r="T6" s="4">
        <v>274</v>
      </c>
      <c r="U6" s="7">
        <f t="shared" si="9"/>
        <v>27101078</v>
      </c>
      <c r="V6" s="4">
        <v>304</v>
      </c>
      <c r="W6" s="7">
        <f t="shared" si="10"/>
        <v>30068349</v>
      </c>
      <c r="X6" s="4">
        <v>334</v>
      </c>
      <c r="Y6" s="7">
        <f t="shared" si="11"/>
        <v>33035620</v>
      </c>
      <c r="AB6" s="4">
        <v>124</v>
      </c>
      <c r="AC6" s="7">
        <f t="shared" si="12"/>
        <v>13282541</v>
      </c>
      <c r="AD6" s="4">
        <v>154</v>
      </c>
      <c r="AE6" s="7">
        <f t="shared" si="13"/>
        <v>17760124</v>
      </c>
      <c r="AF6" s="4">
        <v>184</v>
      </c>
      <c r="AG6" s="7">
        <f t="shared" si="14"/>
        <v>22730201</v>
      </c>
    </row>
    <row r="7" spans="1:33" x14ac:dyDescent="0.2">
      <c r="A7" s="6"/>
      <c r="B7" s="4">
        <v>5</v>
      </c>
      <c r="C7" s="7">
        <f t="shared" si="0"/>
        <v>371422</v>
      </c>
      <c r="D7" s="4">
        <v>35</v>
      </c>
      <c r="E7" s="7">
        <f t="shared" si="1"/>
        <v>2887242</v>
      </c>
      <c r="F7" s="4">
        <v>65</v>
      </c>
      <c r="G7" s="7">
        <f t="shared" si="2"/>
        <v>5895554</v>
      </c>
      <c r="H7" s="4">
        <v>95</v>
      </c>
      <c r="I7" s="7">
        <f t="shared" si="3"/>
        <v>9396359</v>
      </c>
      <c r="J7" s="4">
        <v>125</v>
      </c>
      <c r="K7" s="7">
        <f t="shared" si="4"/>
        <v>12363631</v>
      </c>
      <c r="L7" s="4">
        <v>155</v>
      </c>
      <c r="M7" s="7">
        <f t="shared" si="5"/>
        <v>15330902</v>
      </c>
      <c r="N7" s="4">
        <v>185</v>
      </c>
      <c r="O7" s="7">
        <f t="shared" si="6"/>
        <v>18298173</v>
      </c>
      <c r="P7" s="4">
        <v>215</v>
      </c>
      <c r="Q7" s="7">
        <f t="shared" si="7"/>
        <v>21265444</v>
      </c>
      <c r="R7" s="4">
        <v>245</v>
      </c>
      <c r="S7" s="7">
        <f t="shared" si="8"/>
        <v>24232716</v>
      </c>
      <c r="T7" s="4">
        <v>275</v>
      </c>
      <c r="U7" s="7">
        <f t="shared" si="9"/>
        <v>27199987</v>
      </c>
      <c r="V7" s="4">
        <v>305</v>
      </c>
      <c r="W7" s="7">
        <f t="shared" si="10"/>
        <v>30167258</v>
      </c>
      <c r="X7" s="4">
        <v>335</v>
      </c>
      <c r="Y7" s="7">
        <f t="shared" si="11"/>
        <v>33134529</v>
      </c>
      <c r="AB7" s="4">
        <v>125</v>
      </c>
      <c r="AC7" s="7">
        <f t="shared" si="12"/>
        <v>13389658</v>
      </c>
      <c r="AD7" s="4">
        <v>155</v>
      </c>
      <c r="AE7" s="7">
        <f t="shared" si="13"/>
        <v>17875450</v>
      </c>
      <c r="AF7" s="4">
        <v>185</v>
      </c>
      <c r="AG7" s="7">
        <f t="shared" si="14"/>
        <v>22853735</v>
      </c>
    </row>
    <row r="8" spans="1:33" x14ac:dyDescent="0.2">
      <c r="A8" s="6"/>
      <c r="B8" s="4">
        <v>6</v>
      </c>
      <c r="C8" s="7">
        <f t="shared" si="0"/>
        <v>445707</v>
      </c>
      <c r="D8" s="4">
        <v>36</v>
      </c>
      <c r="E8" s="7">
        <f t="shared" si="1"/>
        <v>2969734</v>
      </c>
      <c r="F8" s="4">
        <v>66</v>
      </c>
      <c r="G8" s="7">
        <f t="shared" si="2"/>
        <v>5986255</v>
      </c>
      <c r="H8" s="4">
        <v>96</v>
      </c>
      <c r="I8" s="7">
        <f t="shared" si="3"/>
        <v>9495268</v>
      </c>
      <c r="J8" s="4">
        <v>126</v>
      </c>
      <c r="K8" s="7">
        <f t="shared" si="4"/>
        <v>12462540</v>
      </c>
      <c r="L8" s="4">
        <v>156</v>
      </c>
      <c r="M8" s="7">
        <f t="shared" si="5"/>
        <v>15429811</v>
      </c>
      <c r="N8" s="4">
        <v>186</v>
      </c>
      <c r="O8" s="7">
        <f t="shared" si="6"/>
        <v>18397082</v>
      </c>
      <c r="P8" s="4">
        <v>216</v>
      </c>
      <c r="Q8" s="7">
        <f t="shared" si="7"/>
        <v>21364353</v>
      </c>
      <c r="R8" s="4">
        <v>246</v>
      </c>
      <c r="S8" s="7">
        <f t="shared" si="8"/>
        <v>24331625</v>
      </c>
      <c r="T8" s="4">
        <v>276</v>
      </c>
      <c r="U8" s="7">
        <f t="shared" si="9"/>
        <v>27298896</v>
      </c>
      <c r="V8" s="4">
        <v>306</v>
      </c>
      <c r="W8" s="7">
        <f t="shared" si="10"/>
        <v>30266167</v>
      </c>
      <c r="X8" s="4">
        <v>336</v>
      </c>
      <c r="Y8" s="7">
        <f t="shared" si="11"/>
        <v>33233438</v>
      </c>
      <c r="AB8" s="4">
        <v>126</v>
      </c>
      <c r="AC8" s="7">
        <f t="shared" si="12"/>
        <v>13496775</v>
      </c>
      <c r="AD8" s="4">
        <v>156</v>
      </c>
      <c r="AE8" s="7">
        <f t="shared" si="13"/>
        <v>17990775</v>
      </c>
      <c r="AF8" s="4">
        <v>186</v>
      </c>
      <c r="AG8" s="7">
        <f t="shared" si="14"/>
        <v>22977268</v>
      </c>
    </row>
    <row r="9" spans="1:33" x14ac:dyDescent="0.2">
      <c r="A9" s="6"/>
      <c r="B9" s="4">
        <v>7</v>
      </c>
      <c r="C9" s="7">
        <f t="shared" si="0"/>
        <v>519991</v>
      </c>
      <c r="D9" s="4">
        <v>37</v>
      </c>
      <c r="E9" s="7">
        <f t="shared" si="1"/>
        <v>3052227</v>
      </c>
      <c r="F9" s="4">
        <v>67</v>
      </c>
      <c r="G9" s="7">
        <f t="shared" si="2"/>
        <v>6076956</v>
      </c>
      <c r="H9" s="4">
        <v>97</v>
      </c>
      <c r="I9" s="7">
        <f t="shared" si="3"/>
        <v>9594177</v>
      </c>
      <c r="J9" s="4">
        <v>127</v>
      </c>
      <c r="K9" s="7">
        <f t="shared" si="4"/>
        <v>12561449</v>
      </c>
      <c r="L9" s="4">
        <v>157</v>
      </c>
      <c r="M9" s="7">
        <f t="shared" si="5"/>
        <v>15528720</v>
      </c>
      <c r="N9" s="4">
        <v>187</v>
      </c>
      <c r="O9" s="7">
        <f t="shared" si="6"/>
        <v>18495991</v>
      </c>
      <c r="P9" s="4">
        <v>217</v>
      </c>
      <c r="Q9" s="7">
        <f t="shared" si="7"/>
        <v>21463262</v>
      </c>
      <c r="R9" s="4">
        <v>247</v>
      </c>
      <c r="S9" s="7">
        <f t="shared" si="8"/>
        <v>24430534</v>
      </c>
      <c r="T9" s="4">
        <v>277</v>
      </c>
      <c r="U9" s="7">
        <f t="shared" si="9"/>
        <v>27397805</v>
      </c>
      <c r="V9" s="4">
        <v>307</v>
      </c>
      <c r="W9" s="7">
        <f t="shared" si="10"/>
        <v>30365076</v>
      </c>
      <c r="X9" s="4">
        <v>337</v>
      </c>
      <c r="Y9" s="7">
        <f t="shared" si="11"/>
        <v>33332347</v>
      </c>
      <c r="AB9" s="4">
        <v>127</v>
      </c>
      <c r="AC9" s="7">
        <f t="shared" si="12"/>
        <v>13603893</v>
      </c>
      <c r="AD9" s="4">
        <v>157</v>
      </c>
      <c r="AE9" s="7">
        <f t="shared" si="13"/>
        <v>18106101</v>
      </c>
      <c r="AF9" s="4">
        <v>187</v>
      </c>
      <c r="AG9" s="7">
        <f t="shared" si="14"/>
        <v>23100802</v>
      </c>
    </row>
    <row r="10" spans="1:33" x14ac:dyDescent="0.2">
      <c r="A10" s="6"/>
      <c r="B10" s="4">
        <v>8</v>
      </c>
      <c r="C10" s="7">
        <f t="shared" si="0"/>
        <v>594276</v>
      </c>
      <c r="D10" s="4">
        <v>38</v>
      </c>
      <c r="E10" s="7">
        <f t="shared" si="1"/>
        <v>3134719</v>
      </c>
      <c r="F10" s="4">
        <v>68</v>
      </c>
      <c r="G10" s="7">
        <f t="shared" si="2"/>
        <v>6167656</v>
      </c>
      <c r="H10" s="4">
        <v>98</v>
      </c>
      <c r="I10" s="7">
        <f t="shared" si="3"/>
        <v>9693087</v>
      </c>
      <c r="J10" s="4">
        <v>128</v>
      </c>
      <c r="K10" s="7">
        <f t="shared" si="4"/>
        <v>12660358</v>
      </c>
      <c r="L10" s="4">
        <v>158</v>
      </c>
      <c r="M10" s="7">
        <f t="shared" si="5"/>
        <v>15627629</v>
      </c>
      <c r="N10" s="4">
        <v>188</v>
      </c>
      <c r="O10" s="7">
        <f t="shared" si="6"/>
        <v>18594900</v>
      </c>
      <c r="P10" s="4">
        <v>218</v>
      </c>
      <c r="Q10" s="7">
        <f t="shared" si="7"/>
        <v>21562171</v>
      </c>
      <c r="R10" s="4">
        <v>248</v>
      </c>
      <c r="S10" s="7">
        <f t="shared" si="8"/>
        <v>24529443</v>
      </c>
      <c r="T10" s="4">
        <v>278</v>
      </c>
      <c r="U10" s="7">
        <f t="shared" si="9"/>
        <v>27496714</v>
      </c>
      <c r="V10" s="4">
        <v>308</v>
      </c>
      <c r="W10" s="7">
        <f t="shared" si="10"/>
        <v>30463985</v>
      </c>
      <c r="X10" s="4">
        <v>338</v>
      </c>
      <c r="Y10" s="7">
        <f t="shared" si="11"/>
        <v>33431256</v>
      </c>
      <c r="AB10" s="4">
        <v>128</v>
      </c>
      <c r="AC10" s="7">
        <f t="shared" si="12"/>
        <v>13711010</v>
      </c>
      <c r="AD10" s="4">
        <v>158</v>
      </c>
      <c r="AE10" s="7">
        <f t="shared" si="13"/>
        <v>18221426</v>
      </c>
      <c r="AF10" s="4">
        <v>188</v>
      </c>
      <c r="AG10" s="7">
        <f t="shared" si="14"/>
        <v>23224336</v>
      </c>
    </row>
    <row r="11" spans="1:33" x14ac:dyDescent="0.2">
      <c r="A11" s="6"/>
      <c r="B11" s="4">
        <v>9</v>
      </c>
      <c r="C11" s="7">
        <f t="shared" si="0"/>
        <v>668560</v>
      </c>
      <c r="D11" s="4">
        <v>39</v>
      </c>
      <c r="E11" s="7">
        <f t="shared" si="1"/>
        <v>3217212</v>
      </c>
      <c r="F11" s="4">
        <v>69</v>
      </c>
      <c r="G11" s="7">
        <f t="shared" si="2"/>
        <v>6258357</v>
      </c>
      <c r="H11" s="4">
        <v>99</v>
      </c>
      <c r="I11" s="7">
        <f t="shared" si="3"/>
        <v>9791996</v>
      </c>
      <c r="J11" s="4">
        <v>129</v>
      </c>
      <c r="K11" s="7">
        <f t="shared" si="4"/>
        <v>12759267</v>
      </c>
      <c r="L11" s="4">
        <v>159</v>
      </c>
      <c r="M11" s="7">
        <f t="shared" si="5"/>
        <v>15726538</v>
      </c>
      <c r="N11" s="4">
        <v>189</v>
      </c>
      <c r="O11" s="7">
        <f t="shared" si="6"/>
        <v>18693809</v>
      </c>
      <c r="P11" s="4">
        <v>219</v>
      </c>
      <c r="Q11" s="7">
        <f t="shared" si="7"/>
        <v>21661080</v>
      </c>
      <c r="R11" s="4">
        <v>249</v>
      </c>
      <c r="S11" s="7">
        <f t="shared" si="8"/>
        <v>24628352</v>
      </c>
      <c r="T11" s="4">
        <v>279</v>
      </c>
      <c r="U11" s="7">
        <f t="shared" si="9"/>
        <v>27595623</v>
      </c>
      <c r="V11" s="4">
        <v>309</v>
      </c>
      <c r="W11" s="7">
        <f t="shared" si="10"/>
        <v>30562894</v>
      </c>
      <c r="X11" s="4">
        <v>339</v>
      </c>
      <c r="Y11" s="7">
        <f t="shared" si="11"/>
        <v>33530165</v>
      </c>
      <c r="AB11" s="4">
        <v>129</v>
      </c>
      <c r="AC11" s="7">
        <f t="shared" si="12"/>
        <v>13818127</v>
      </c>
      <c r="AD11" s="4">
        <v>159</v>
      </c>
      <c r="AE11" s="7">
        <f t="shared" si="13"/>
        <v>18336752</v>
      </c>
      <c r="AF11" s="4">
        <v>189</v>
      </c>
      <c r="AG11" s="7">
        <f t="shared" si="14"/>
        <v>23347870</v>
      </c>
    </row>
    <row r="12" spans="1:33" x14ac:dyDescent="0.2">
      <c r="A12" s="6"/>
      <c r="B12" s="4">
        <v>10</v>
      </c>
      <c r="C12" s="7">
        <f t="shared" si="0"/>
        <v>742844</v>
      </c>
      <c r="D12" s="4">
        <v>40</v>
      </c>
      <c r="E12" s="7">
        <f t="shared" si="1"/>
        <v>3299705</v>
      </c>
      <c r="F12" s="4">
        <v>70</v>
      </c>
      <c r="G12" s="7">
        <f t="shared" si="2"/>
        <v>6349058</v>
      </c>
      <c r="H12" s="4">
        <v>100</v>
      </c>
      <c r="I12" s="7">
        <f t="shared" si="3"/>
        <v>9890905</v>
      </c>
      <c r="J12" s="4">
        <v>130</v>
      </c>
      <c r="K12" s="7">
        <f t="shared" si="4"/>
        <v>12858176</v>
      </c>
      <c r="L12" s="4">
        <v>160</v>
      </c>
      <c r="M12" s="7">
        <f t="shared" si="5"/>
        <v>15825447</v>
      </c>
      <c r="N12" s="4">
        <v>190</v>
      </c>
      <c r="O12" s="7">
        <f t="shared" si="6"/>
        <v>18792718</v>
      </c>
      <c r="P12" s="4">
        <v>220</v>
      </c>
      <c r="Q12" s="7">
        <f t="shared" si="7"/>
        <v>21759990</v>
      </c>
      <c r="R12" s="4">
        <v>250</v>
      </c>
      <c r="S12" s="7">
        <f t="shared" si="8"/>
        <v>24727261</v>
      </c>
      <c r="T12" s="4">
        <v>280</v>
      </c>
      <c r="U12" s="7">
        <f t="shared" si="9"/>
        <v>27694532</v>
      </c>
      <c r="V12" s="4">
        <v>310</v>
      </c>
      <c r="W12" s="7">
        <f t="shared" si="10"/>
        <v>30661803</v>
      </c>
      <c r="X12" s="4">
        <v>340</v>
      </c>
      <c r="Y12" s="7">
        <f t="shared" si="11"/>
        <v>33629074</v>
      </c>
      <c r="AB12" s="4">
        <v>130</v>
      </c>
      <c r="AC12" s="7">
        <f t="shared" si="12"/>
        <v>13925244</v>
      </c>
      <c r="AD12" s="4">
        <v>160</v>
      </c>
      <c r="AE12" s="7">
        <f t="shared" si="13"/>
        <v>18452077</v>
      </c>
      <c r="AF12" s="4">
        <v>190</v>
      </c>
      <c r="AG12" s="7">
        <f t="shared" si="14"/>
        <v>23471403</v>
      </c>
    </row>
    <row r="13" spans="1:33" x14ac:dyDescent="0.2">
      <c r="A13" s="6"/>
      <c r="B13" s="4">
        <v>11</v>
      </c>
      <c r="C13" s="7">
        <f t="shared" si="0"/>
        <v>817129</v>
      </c>
      <c r="D13" s="4">
        <v>41</v>
      </c>
      <c r="E13" s="7">
        <f t="shared" si="1"/>
        <v>3382197</v>
      </c>
      <c r="F13" s="4">
        <v>71</v>
      </c>
      <c r="G13" s="7">
        <f t="shared" si="2"/>
        <v>6439759</v>
      </c>
      <c r="H13" s="4">
        <v>101</v>
      </c>
      <c r="I13" s="7">
        <f t="shared" si="3"/>
        <v>9989814</v>
      </c>
      <c r="J13" s="4">
        <v>131</v>
      </c>
      <c r="K13" s="7">
        <f t="shared" si="4"/>
        <v>12957085</v>
      </c>
      <c r="L13" s="4">
        <v>161</v>
      </c>
      <c r="M13" s="7">
        <f t="shared" si="5"/>
        <v>15924356</v>
      </c>
      <c r="N13" s="4">
        <v>191</v>
      </c>
      <c r="O13" s="7">
        <f t="shared" si="6"/>
        <v>18891627</v>
      </c>
      <c r="P13" s="4">
        <v>221</v>
      </c>
      <c r="Q13" s="7">
        <f t="shared" si="7"/>
        <v>21858899</v>
      </c>
      <c r="R13" s="4">
        <v>251</v>
      </c>
      <c r="S13" s="7">
        <f t="shared" si="8"/>
        <v>24826170</v>
      </c>
      <c r="T13" s="4">
        <v>281</v>
      </c>
      <c r="U13" s="7">
        <f t="shared" si="9"/>
        <v>27793441</v>
      </c>
      <c r="V13" s="4">
        <v>311</v>
      </c>
      <c r="W13" s="7">
        <f t="shared" si="10"/>
        <v>30760712</v>
      </c>
      <c r="X13" s="4">
        <v>341</v>
      </c>
      <c r="Y13" s="7">
        <f t="shared" si="11"/>
        <v>33727984</v>
      </c>
      <c r="AB13" s="4">
        <v>131</v>
      </c>
      <c r="AC13" s="7">
        <f t="shared" si="12"/>
        <v>14032362</v>
      </c>
      <c r="AD13" s="4">
        <v>161</v>
      </c>
      <c r="AE13" s="7">
        <f t="shared" si="13"/>
        <v>18567403</v>
      </c>
      <c r="AF13" s="4">
        <v>191</v>
      </c>
      <c r="AG13" s="7">
        <f t="shared" si="14"/>
        <v>23594937</v>
      </c>
    </row>
    <row r="14" spans="1:33" x14ac:dyDescent="0.2">
      <c r="A14" s="6"/>
      <c r="B14" s="4">
        <v>12</v>
      </c>
      <c r="C14" s="7">
        <f t="shared" si="0"/>
        <v>891413</v>
      </c>
      <c r="D14" s="4">
        <v>42</v>
      </c>
      <c r="E14" s="7">
        <f t="shared" si="1"/>
        <v>3464690</v>
      </c>
      <c r="F14" s="4">
        <v>72</v>
      </c>
      <c r="G14" s="7">
        <f t="shared" si="2"/>
        <v>6530460</v>
      </c>
      <c r="H14" s="4">
        <v>102</v>
      </c>
      <c r="I14" s="7">
        <f t="shared" si="3"/>
        <v>10088723</v>
      </c>
      <c r="J14" s="4">
        <v>132</v>
      </c>
      <c r="K14" s="7">
        <f t="shared" si="4"/>
        <v>13055994</v>
      </c>
      <c r="L14" s="4">
        <v>162</v>
      </c>
      <c r="M14" s="7">
        <f t="shared" si="5"/>
        <v>16023265</v>
      </c>
      <c r="N14" s="4">
        <v>192</v>
      </c>
      <c r="O14" s="7">
        <f t="shared" si="6"/>
        <v>18990536</v>
      </c>
      <c r="P14" s="4">
        <v>222</v>
      </c>
      <c r="Q14" s="7">
        <f t="shared" si="7"/>
        <v>21957808</v>
      </c>
      <c r="R14" s="4">
        <v>252</v>
      </c>
      <c r="S14" s="7">
        <f t="shared" si="8"/>
        <v>24925079</v>
      </c>
      <c r="T14" s="4">
        <v>282</v>
      </c>
      <c r="U14" s="7">
        <f t="shared" si="9"/>
        <v>27892350</v>
      </c>
      <c r="V14" s="4">
        <v>312</v>
      </c>
      <c r="W14" s="7">
        <f t="shared" si="10"/>
        <v>30859621</v>
      </c>
      <c r="X14" s="4">
        <v>342</v>
      </c>
      <c r="Y14" s="7">
        <f t="shared" si="11"/>
        <v>33826893</v>
      </c>
      <c r="AB14" s="4">
        <v>132</v>
      </c>
      <c r="AC14" s="7">
        <f t="shared" si="12"/>
        <v>14139479</v>
      </c>
      <c r="AD14" s="4">
        <v>162</v>
      </c>
      <c r="AE14" s="7">
        <f t="shared" si="13"/>
        <v>18682728</v>
      </c>
      <c r="AF14" s="4">
        <v>192</v>
      </c>
      <c r="AG14" s="7">
        <f t="shared" si="14"/>
        <v>23718471</v>
      </c>
    </row>
    <row r="15" spans="1:33" x14ac:dyDescent="0.2">
      <c r="A15" s="6"/>
      <c r="B15" s="4">
        <v>13</v>
      </c>
      <c r="C15" s="7">
        <f t="shared" si="0"/>
        <v>965697</v>
      </c>
      <c r="D15" s="4">
        <v>43</v>
      </c>
      <c r="E15" s="7">
        <f t="shared" si="1"/>
        <v>3547182</v>
      </c>
      <c r="F15" s="4">
        <v>73</v>
      </c>
      <c r="G15" s="7">
        <f t="shared" si="2"/>
        <v>6621160</v>
      </c>
      <c r="H15" s="4">
        <v>103</v>
      </c>
      <c r="I15" s="7">
        <f t="shared" si="3"/>
        <v>10187632</v>
      </c>
      <c r="J15" s="4">
        <v>133</v>
      </c>
      <c r="K15" s="7">
        <f t="shared" si="4"/>
        <v>13154903</v>
      </c>
      <c r="L15" s="4">
        <v>163</v>
      </c>
      <c r="M15" s="7">
        <f t="shared" si="5"/>
        <v>16122174</v>
      </c>
      <c r="N15" s="4">
        <v>193</v>
      </c>
      <c r="O15" s="7">
        <f t="shared" si="6"/>
        <v>19089445</v>
      </c>
      <c r="P15" s="4">
        <v>223</v>
      </c>
      <c r="Q15" s="7">
        <f t="shared" si="7"/>
        <v>22056717</v>
      </c>
      <c r="R15" s="4">
        <v>253</v>
      </c>
      <c r="S15" s="7">
        <f t="shared" si="8"/>
        <v>25023988</v>
      </c>
      <c r="T15" s="4">
        <v>283</v>
      </c>
      <c r="U15" s="7">
        <f t="shared" si="9"/>
        <v>27991259</v>
      </c>
      <c r="V15" s="4">
        <v>313</v>
      </c>
      <c r="W15" s="7">
        <f t="shared" si="10"/>
        <v>30958530</v>
      </c>
      <c r="X15" s="4">
        <v>343</v>
      </c>
      <c r="Y15" s="7">
        <f t="shared" si="11"/>
        <v>33925802</v>
      </c>
      <c r="AB15" s="4">
        <v>133</v>
      </c>
      <c r="AC15" s="7">
        <f t="shared" si="12"/>
        <v>14246596</v>
      </c>
      <c r="AD15" s="4">
        <v>163</v>
      </c>
      <c r="AE15" s="7">
        <f t="shared" si="13"/>
        <v>18798054</v>
      </c>
      <c r="AF15" s="4">
        <v>193</v>
      </c>
      <c r="AG15" s="7">
        <f t="shared" si="14"/>
        <v>23842004</v>
      </c>
    </row>
    <row r="16" spans="1:33" x14ac:dyDescent="0.2">
      <c r="A16" s="6"/>
      <c r="B16" s="4">
        <v>14</v>
      </c>
      <c r="C16" s="7">
        <f t="shared" si="0"/>
        <v>1039982</v>
      </c>
      <c r="D16" s="4">
        <v>44</v>
      </c>
      <c r="E16" s="7">
        <f t="shared" si="1"/>
        <v>3629675</v>
      </c>
      <c r="F16" s="4">
        <v>74</v>
      </c>
      <c r="G16" s="7">
        <f t="shared" si="2"/>
        <v>6711861</v>
      </c>
      <c r="H16" s="4">
        <v>104</v>
      </c>
      <c r="I16" s="7">
        <f t="shared" si="3"/>
        <v>10286541</v>
      </c>
      <c r="J16" s="4">
        <v>134</v>
      </c>
      <c r="K16" s="7">
        <f t="shared" si="4"/>
        <v>13253812</v>
      </c>
      <c r="L16" s="4">
        <v>164</v>
      </c>
      <c r="M16" s="7">
        <f t="shared" si="5"/>
        <v>16221083</v>
      </c>
      <c r="N16" s="4">
        <v>194</v>
      </c>
      <c r="O16" s="7">
        <f t="shared" si="6"/>
        <v>19188354</v>
      </c>
      <c r="P16" s="4">
        <v>224</v>
      </c>
      <c r="Q16" s="7">
        <f t="shared" si="7"/>
        <v>22155626</v>
      </c>
      <c r="R16" s="4">
        <v>254</v>
      </c>
      <c r="S16" s="7">
        <f t="shared" si="8"/>
        <v>25122897</v>
      </c>
      <c r="T16" s="4">
        <v>284</v>
      </c>
      <c r="U16" s="7">
        <f t="shared" si="9"/>
        <v>28090168</v>
      </c>
      <c r="V16" s="4">
        <v>314</v>
      </c>
      <c r="W16" s="7">
        <f t="shared" si="10"/>
        <v>31057439</v>
      </c>
      <c r="X16" s="4">
        <v>344</v>
      </c>
      <c r="Y16" s="7">
        <f t="shared" si="11"/>
        <v>34024711</v>
      </c>
      <c r="AB16" s="4">
        <v>134</v>
      </c>
      <c r="AC16" s="7">
        <f t="shared" si="12"/>
        <v>14353713</v>
      </c>
      <c r="AD16" s="4">
        <v>164</v>
      </c>
      <c r="AE16" s="7">
        <f t="shared" si="13"/>
        <v>18913379</v>
      </c>
      <c r="AF16" s="4">
        <v>194</v>
      </c>
      <c r="AG16" s="7">
        <f t="shared" si="14"/>
        <v>23965538</v>
      </c>
    </row>
    <row r="17" spans="1:33" x14ac:dyDescent="0.2">
      <c r="A17" s="6"/>
      <c r="B17" s="4">
        <v>15</v>
      </c>
      <c r="C17" s="7">
        <f t="shared" si="0"/>
        <v>1114266</v>
      </c>
      <c r="D17" s="4">
        <v>45</v>
      </c>
      <c r="E17" s="7">
        <f t="shared" si="1"/>
        <v>3712168</v>
      </c>
      <c r="F17" s="4">
        <v>75</v>
      </c>
      <c r="G17" s="7">
        <f t="shared" si="2"/>
        <v>6802562</v>
      </c>
      <c r="H17" s="4">
        <v>105</v>
      </c>
      <c r="I17" s="7">
        <f t="shared" si="3"/>
        <v>10385450</v>
      </c>
      <c r="J17" s="4">
        <v>135</v>
      </c>
      <c r="K17" s="7">
        <f t="shared" si="4"/>
        <v>13352721</v>
      </c>
      <c r="L17" s="4">
        <v>165</v>
      </c>
      <c r="M17" s="7">
        <f t="shared" si="5"/>
        <v>16319992</v>
      </c>
      <c r="N17" s="4">
        <v>195</v>
      </c>
      <c r="O17" s="7">
        <f t="shared" si="6"/>
        <v>19287264</v>
      </c>
      <c r="P17" s="4">
        <v>225</v>
      </c>
      <c r="Q17" s="7">
        <f t="shared" si="7"/>
        <v>22254535</v>
      </c>
      <c r="R17" s="4">
        <v>255</v>
      </c>
      <c r="S17" s="7">
        <f t="shared" si="8"/>
        <v>25221806</v>
      </c>
      <c r="T17" s="4">
        <v>285</v>
      </c>
      <c r="U17" s="7">
        <f t="shared" si="9"/>
        <v>28189077</v>
      </c>
      <c r="V17" s="4">
        <v>315</v>
      </c>
      <c r="W17" s="7">
        <f t="shared" si="10"/>
        <v>31156348</v>
      </c>
      <c r="X17" s="4">
        <v>345</v>
      </c>
      <c r="Y17" s="7">
        <f t="shared" si="11"/>
        <v>34123620</v>
      </c>
      <c r="AB17" s="4">
        <v>135</v>
      </c>
      <c r="AC17" s="7">
        <f t="shared" si="12"/>
        <v>14460831</v>
      </c>
      <c r="AD17" s="4">
        <v>165</v>
      </c>
      <c r="AE17" s="7">
        <f t="shared" si="13"/>
        <v>19028705</v>
      </c>
      <c r="AF17" s="4">
        <v>195</v>
      </c>
      <c r="AG17" s="7">
        <f t="shared" si="14"/>
        <v>24089072</v>
      </c>
    </row>
    <row r="18" spans="1:33" x14ac:dyDescent="0.2">
      <c r="A18" s="6"/>
      <c r="B18" s="4">
        <v>16</v>
      </c>
      <c r="C18" s="7">
        <f t="shared" si="0"/>
        <v>1188551</v>
      </c>
      <c r="D18" s="4">
        <v>46</v>
      </c>
      <c r="E18" s="7">
        <f t="shared" si="1"/>
        <v>3794660</v>
      </c>
      <c r="F18" s="4">
        <v>76</v>
      </c>
      <c r="G18" s="7">
        <f t="shared" si="2"/>
        <v>6893263</v>
      </c>
      <c r="H18" s="4">
        <v>106</v>
      </c>
      <c r="I18" s="7">
        <f t="shared" si="3"/>
        <v>10484359</v>
      </c>
      <c r="J18" s="4">
        <v>136</v>
      </c>
      <c r="K18" s="7">
        <f t="shared" si="4"/>
        <v>13451630</v>
      </c>
      <c r="L18" s="4">
        <v>166</v>
      </c>
      <c r="M18" s="7">
        <f t="shared" si="5"/>
        <v>16418901</v>
      </c>
      <c r="N18" s="4">
        <v>196</v>
      </c>
      <c r="O18" s="7">
        <f t="shared" si="6"/>
        <v>19386173</v>
      </c>
      <c r="P18" s="4">
        <v>226</v>
      </c>
      <c r="Q18" s="7">
        <f t="shared" si="7"/>
        <v>22353444</v>
      </c>
      <c r="R18" s="4">
        <v>256</v>
      </c>
      <c r="S18" s="7">
        <f t="shared" si="8"/>
        <v>25320715</v>
      </c>
      <c r="T18" s="4">
        <v>286</v>
      </c>
      <c r="U18" s="7">
        <f t="shared" si="9"/>
        <v>28287986</v>
      </c>
      <c r="V18" s="4">
        <v>316</v>
      </c>
      <c r="W18" s="7">
        <f t="shared" si="10"/>
        <v>31255257</v>
      </c>
      <c r="X18" s="4">
        <v>346</v>
      </c>
      <c r="Y18" s="7">
        <f t="shared" si="11"/>
        <v>34222529</v>
      </c>
      <c r="AB18" s="4">
        <v>136</v>
      </c>
      <c r="AC18" s="7">
        <f t="shared" si="12"/>
        <v>14567948</v>
      </c>
      <c r="AD18" s="4">
        <v>166</v>
      </c>
      <c r="AE18" s="7">
        <f t="shared" si="13"/>
        <v>19144030</v>
      </c>
      <c r="AF18" s="4">
        <v>196</v>
      </c>
      <c r="AG18" s="7">
        <f t="shared" si="14"/>
        <v>24212605</v>
      </c>
    </row>
    <row r="19" spans="1:33" x14ac:dyDescent="0.2">
      <c r="A19" s="6"/>
      <c r="B19" s="4">
        <v>17</v>
      </c>
      <c r="C19" s="7">
        <f t="shared" si="0"/>
        <v>1262835</v>
      </c>
      <c r="D19" s="4">
        <v>47</v>
      </c>
      <c r="E19" s="7">
        <f t="shared" si="1"/>
        <v>3877153</v>
      </c>
      <c r="F19" s="4">
        <v>77</v>
      </c>
      <c r="G19" s="7">
        <f t="shared" si="2"/>
        <v>6983964</v>
      </c>
      <c r="H19" s="4">
        <v>107</v>
      </c>
      <c r="I19" s="7">
        <f t="shared" si="3"/>
        <v>10583268</v>
      </c>
      <c r="J19" s="4">
        <v>137</v>
      </c>
      <c r="K19" s="7">
        <f t="shared" si="4"/>
        <v>13550539</v>
      </c>
      <c r="L19" s="4">
        <v>167</v>
      </c>
      <c r="M19" s="7">
        <f t="shared" si="5"/>
        <v>16517810</v>
      </c>
      <c r="N19" s="4">
        <v>197</v>
      </c>
      <c r="O19" s="7">
        <f t="shared" si="6"/>
        <v>19485082</v>
      </c>
      <c r="P19" s="4">
        <v>227</v>
      </c>
      <c r="Q19" s="7">
        <f t="shared" si="7"/>
        <v>22452353</v>
      </c>
      <c r="R19" s="4">
        <v>257</v>
      </c>
      <c r="S19" s="7">
        <f t="shared" si="8"/>
        <v>25419624</v>
      </c>
      <c r="T19" s="4">
        <v>287</v>
      </c>
      <c r="U19" s="7">
        <f t="shared" si="9"/>
        <v>28386895</v>
      </c>
      <c r="V19" s="4">
        <v>317</v>
      </c>
      <c r="W19" s="7">
        <f t="shared" si="10"/>
        <v>31354167</v>
      </c>
      <c r="X19" s="4">
        <v>347</v>
      </c>
      <c r="Y19" s="7">
        <f t="shared" si="11"/>
        <v>34321438</v>
      </c>
      <c r="AB19" s="4">
        <v>137</v>
      </c>
      <c r="AC19" s="7">
        <f t="shared" si="12"/>
        <v>14675065</v>
      </c>
      <c r="AD19" s="4">
        <v>167</v>
      </c>
      <c r="AE19" s="7">
        <f t="shared" si="13"/>
        <v>19259356</v>
      </c>
      <c r="AF19" s="4">
        <v>197</v>
      </c>
      <c r="AG19" s="7">
        <f t="shared" si="14"/>
        <v>24336139</v>
      </c>
    </row>
    <row r="20" spans="1:33" x14ac:dyDescent="0.2">
      <c r="A20" s="6"/>
      <c r="B20" s="4">
        <v>18</v>
      </c>
      <c r="C20" s="7">
        <f t="shared" si="0"/>
        <v>1337119</v>
      </c>
      <c r="D20" s="4">
        <v>48</v>
      </c>
      <c r="E20" s="7">
        <f t="shared" si="1"/>
        <v>3959645</v>
      </c>
      <c r="F20" s="4">
        <v>78</v>
      </c>
      <c r="G20" s="7">
        <f t="shared" si="2"/>
        <v>7074665</v>
      </c>
      <c r="H20" s="4">
        <v>108</v>
      </c>
      <c r="I20" s="7">
        <f t="shared" si="3"/>
        <v>10682177</v>
      </c>
      <c r="J20" s="4">
        <v>138</v>
      </c>
      <c r="K20" s="7">
        <f t="shared" si="4"/>
        <v>13649448</v>
      </c>
      <c r="L20" s="4">
        <v>168</v>
      </c>
      <c r="M20" s="7">
        <f t="shared" si="5"/>
        <v>16616719</v>
      </c>
      <c r="N20" s="4">
        <v>198</v>
      </c>
      <c r="O20" s="7">
        <f t="shared" si="6"/>
        <v>19583991</v>
      </c>
      <c r="P20" s="4">
        <v>228</v>
      </c>
      <c r="Q20" s="7">
        <f t="shared" si="7"/>
        <v>22551262</v>
      </c>
      <c r="R20" s="4">
        <v>258</v>
      </c>
      <c r="S20" s="7">
        <f t="shared" si="8"/>
        <v>25518533</v>
      </c>
      <c r="T20" s="4">
        <v>288</v>
      </c>
      <c r="U20" s="7">
        <f t="shared" si="9"/>
        <v>28485804</v>
      </c>
      <c r="V20" s="4">
        <v>318</v>
      </c>
      <c r="W20" s="7">
        <f t="shared" si="10"/>
        <v>31453076</v>
      </c>
      <c r="X20" s="4">
        <v>348</v>
      </c>
      <c r="Y20" s="7">
        <f t="shared" si="11"/>
        <v>34420347</v>
      </c>
      <c r="AB20" s="4">
        <v>138</v>
      </c>
      <c r="AC20" s="7">
        <f t="shared" si="12"/>
        <v>14782182</v>
      </c>
      <c r="AD20" s="4">
        <v>168</v>
      </c>
      <c r="AE20" s="7">
        <f t="shared" si="13"/>
        <v>19374681</v>
      </c>
      <c r="AF20" s="4">
        <v>198</v>
      </c>
      <c r="AG20" s="7">
        <f t="shared" si="14"/>
        <v>24459673</v>
      </c>
    </row>
    <row r="21" spans="1:33" x14ac:dyDescent="0.2">
      <c r="A21" s="6"/>
      <c r="B21" s="4">
        <v>19</v>
      </c>
      <c r="C21" s="7">
        <f t="shared" si="0"/>
        <v>1411404</v>
      </c>
      <c r="D21" s="4">
        <v>49</v>
      </c>
      <c r="E21" s="7">
        <f t="shared" si="1"/>
        <v>4042138</v>
      </c>
      <c r="F21" s="4">
        <v>79</v>
      </c>
      <c r="G21" s="7">
        <f t="shared" si="2"/>
        <v>7165365</v>
      </c>
      <c r="H21" s="4">
        <v>109</v>
      </c>
      <c r="I21" s="7">
        <f t="shared" si="3"/>
        <v>10781086</v>
      </c>
      <c r="J21" s="4">
        <v>139</v>
      </c>
      <c r="K21" s="7">
        <f t="shared" si="4"/>
        <v>13748357</v>
      </c>
      <c r="L21" s="4">
        <v>169</v>
      </c>
      <c r="M21" s="7">
        <f t="shared" si="5"/>
        <v>16715628</v>
      </c>
      <c r="N21" s="4">
        <v>199</v>
      </c>
      <c r="O21" s="7">
        <f t="shared" si="6"/>
        <v>19682900</v>
      </c>
      <c r="P21" s="4">
        <v>229</v>
      </c>
      <c r="Q21" s="7">
        <f t="shared" si="7"/>
        <v>22650171</v>
      </c>
      <c r="R21" s="4">
        <v>259</v>
      </c>
      <c r="S21" s="7">
        <f t="shared" si="8"/>
        <v>25617442</v>
      </c>
      <c r="T21" s="4">
        <v>289</v>
      </c>
      <c r="U21" s="7">
        <f t="shared" si="9"/>
        <v>28584713</v>
      </c>
      <c r="V21" s="4">
        <v>319</v>
      </c>
      <c r="W21" s="7">
        <f t="shared" si="10"/>
        <v>31551985</v>
      </c>
      <c r="X21" s="4">
        <v>349</v>
      </c>
      <c r="Y21" s="7">
        <f t="shared" si="11"/>
        <v>34519256</v>
      </c>
      <c r="AB21" s="4">
        <v>139</v>
      </c>
      <c r="AC21" s="7">
        <f t="shared" si="12"/>
        <v>14889300</v>
      </c>
      <c r="AD21" s="4">
        <v>169</v>
      </c>
      <c r="AE21" s="7">
        <f t="shared" si="13"/>
        <v>19490007</v>
      </c>
      <c r="AF21" s="4">
        <v>199</v>
      </c>
      <c r="AG21" s="7">
        <f t="shared" si="14"/>
        <v>24583207</v>
      </c>
    </row>
    <row r="22" spans="1:33" x14ac:dyDescent="0.2">
      <c r="A22" s="6"/>
      <c r="B22" s="4">
        <v>20</v>
      </c>
      <c r="C22" s="7">
        <f t="shared" si="0"/>
        <v>1485688</v>
      </c>
      <c r="D22" s="4">
        <v>50</v>
      </c>
      <c r="E22" s="7">
        <f t="shared" si="1"/>
        <v>4124631</v>
      </c>
      <c r="F22" s="4">
        <v>80</v>
      </c>
      <c r="G22" s="7">
        <f t="shared" si="2"/>
        <v>7256066</v>
      </c>
      <c r="H22" s="4">
        <v>110</v>
      </c>
      <c r="I22" s="7">
        <f t="shared" si="3"/>
        <v>10879995</v>
      </c>
      <c r="J22" s="4">
        <v>140</v>
      </c>
      <c r="K22" s="7">
        <f t="shared" si="4"/>
        <v>13847266</v>
      </c>
      <c r="L22" s="4">
        <v>170</v>
      </c>
      <c r="M22" s="7">
        <f t="shared" si="5"/>
        <v>16814537</v>
      </c>
      <c r="N22" s="4">
        <v>200</v>
      </c>
      <c r="O22" s="7">
        <f t="shared" si="6"/>
        <v>19781809</v>
      </c>
      <c r="P22" s="4">
        <v>230</v>
      </c>
      <c r="Q22" s="7">
        <f t="shared" si="7"/>
        <v>22749080</v>
      </c>
      <c r="R22" s="4">
        <v>260</v>
      </c>
      <c r="S22" s="7">
        <f t="shared" si="8"/>
        <v>25716351</v>
      </c>
      <c r="T22" s="4">
        <v>290</v>
      </c>
      <c r="U22" s="7">
        <f t="shared" si="9"/>
        <v>28683622</v>
      </c>
      <c r="V22" s="4">
        <v>320</v>
      </c>
      <c r="W22" s="7">
        <f t="shared" si="10"/>
        <v>31650894</v>
      </c>
      <c r="X22" s="4">
        <v>350</v>
      </c>
      <c r="Y22" s="7">
        <f t="shared" si="11"/>
        <v>34618165</v>
      </c>
      <c r="AB22" s="4">
        <v>140</v>
      </c>
      <c r="AC22" s="7">
        <f t="shared" si="12"/>
        <v>14996417</v>
      </c>
      <c r="AD22" s="4">
        <v>170</v>
      </c>
      <c r="AE22" s="7">
        <f t="shared" si="13"/>
        <v>19605332</v>
      </c>
      <c r="AF22" s="4">
        <v>200</v>
      </c>
      <c r="AG22" s="7">
        <f t="shared" si="14"/>
        <v>24706740</v>
      </c>
    </row>
    <row r="23" spans="1:33" x14ac:dyDescent="0.2">
      <c r="A23" s="6"/>
      <c r="B23" s="4">
        <v>21</v>
      </c>
      <c r="C23" s="7">
        <f t="shared" si="0"/>
        <v>1559973</v>
      </c>
      <c r="D23" s="4">
        <v>51</v>
      </c>
      <c r="E23" s="7">
        <f t="shared" si="1"/>
        <v>4207123</v>
      </c>
      <c r="F23" s="4">
        <v>81</v>
      </c>
      <c r="G23" s="7">
        <f t="shared" si="2"/>
        <v>7346767</v>
      </c>
      <c r="H23" s="4">
        <v>111</v>
      </c>
      <c r="I23" s="7">
        <f t="shared" si="3"/>
        <v>10978904</v>
      </c>
      <c r="J23" s="4">
        <v>141</v>
      </c>
      <c r="K23" s="7">
        <f t="shared" si="4"/>
        <v>13946175</v>
      </c>
      <c r="L23" s="4">
        <v>171</v>
      </c>
      <c r="M23" s="7">
        <f t="shared" si="5"/>
        <v>16913447</v>
      </c>
      <c r="N23" s="4">
        <v>201</v>
      </c>
      <c r="O23" s="7">
        <f t="shared" si="6"/>
        <v>19880718</v>
      </c>
      <c r="P23" s="4">
        <v>231</v>
      </c>
      <c r="Q23" s="7">
        <f t="shared" si="7"/>
        <v>22847989</v>
      </c>
      <c r="R23" s="4">
        <v>261</v>
      </c>
      <c r="S23" s="7">
        <f t="shared" si="8"/>
        <v>25815260</v>
      </c>
      <c r="T23" s="4">
        <v>291</v>
      </c>
      <c r="U23" s="7">
        <f t="shared" si="9"/>
        <v>28782531</v>
      </c>
      <c r="V23" s="4">
        <v>321</v>
      </c>
      <c r="W23" s="7">
        <f t="shared" si="10"/>
        <v>31749803</v>
      </c>
      <c r="X23" s="4">
        <v>351</v>
      </c>
      <c r="Y23" s="7">
        <f t="shared" si="11"/>
        <v>34717074</v>
      </c>
      <c r="AB23" s="4">
        <v>141</v>
      </c>
      <c r="AC23" s="7">
        <f t="shared" si="12"/>
        <v>15103534</v>
      </c>
      <c r="AD23" s="4">
        <v>171</v>
      </c>
      <c r="AE23" s="7">
        <f t="shared" si="13"/>
        <v>19720657</v>
      </c>
      <c r="AF23" s="4">
        <v>201</v>
      </c>
      <c r="AG23" s="7">
        <f t="shared" si="14"/>
        <v>24830274</v>
      </c>
    </row>
    <row r="24" spans="1:33" x14ac:dyDescent="0.2">
      <c r="A24" s="6"/>
      <c r="B24" s="4">
        <v>22</v>
      </c>
      <c r="C24" s="7">
        <f t="shared" si="0"/>
        <v>1634257</v>
      </c>
      <c r="D24" s="4">
        <v>52</v>
      </c>
      <c r="E24" s="7">
        <f t="shared" si="1"/>
        <v>4289616</v>
      </c>
      <c r="F24" s="4">
        <v>82</v>
      </c>
      <c r="G24" s="7">
        <f t="shared" si="2"/>
        <v>7437468</v>
      </c>
      <c r="H24" s="4">
        <v>112</v>
      </c>
      <c r="I24" s="7">
        <f t="shared" si="3"/>
        <v>11077813</v>
      </c>
      <c r="J24" s="4">
        <v>142</v>
      </c>
      <c r="K24" s="7">
        <f t="shared" si="4"/>
        <v>14045084</v>
      </c>
      <c r="L24" s="4">
        <v>172</v>
      </c>
      <c r="M24" s="7">
        <f t="shared" si="5"/>
        <v>17012356</v>
      </c>
      <c r="N24" s="4">
        <v>202</v>
      </c>
      <c r="O24" s="7">
        <f t="shared" si="6"/>
        <v>19979627</v>
      </c>
      <c r="P24" s="4">
        <v>232</v>
      </c>
      <c r="Q24" s="7">
        <f t="shared" si="7"/>
        <v>22946898</v>
      </c>
      <c r="R24" s="4">
        <v>262</v>
      </c>
      <c r="S24" s="7">
        <f t="shared" si="8"/>
        <v>25914169</v>
      </c>
      <c r="T24" s="4">
        <v>292</v>
      </c>
      <c r="U24" s="7">
        <f t="shared" si="9"/>
        <v>28881440</v>
      </c>
      <c r="V24" s="4">
        <v>322</v>
      </c>
      <c r="W24" s="7">
        <f t="shared" si="10"/>
        <v>31848712</v>
      </c>
      <c r="X24" s="4">
        <v>352</v>
      </c>
      <c r="Y24" s="7">
        <f t="shared" si="11"/>
        <v>34815983</v>
      </c>
      <c r="AB24" s="4">
        <v>142</v>
      </c>
      <c r="AC24" s="7">
        <f t="shared" si="12"/>
        <v>15210651</v>
      </c>
      <c r="AD24" s="4">
        <v>172</v>
      </c>
      <c r="AE24" s="7">
        <f t="shared" si="13"/>
        <v>19835983</v>
      </c>
      <c r="AF24" s="4">
        <v>202</v>
      </c>
      <c r="AG24" s="7">
        <f t="shared" si="14"/>
        <v>24953808</v>
      </c>
    </row>
    <row r="25" spans="1:33" x14ac:dyDescent="0.2">
      <c r="A25" s="6"/>
      <c r="B25" s="4">
        <v>23</v>
      </c>
      <c r="C25" s="7">
        <f t="shared" si="0"/>
        <v>1708541</v>
      </c>
      <c r="D25" s="4">
        <v>53</v>
      </c>
      <c r="E25" s="7">
        <f t="shared" si="1"/>
        <v>4372108</v>
      </c>
      <c r="F25" s="4">
        <v>83</v>
      </c>
      <c r="G25" s="7">
        <f t="shared" si="2"/>
        <v>7528169</v>
      </c>
      <c r="H25" s="4">
        <v>113</v>
      </c>
      <c r="I25" s="7">
        <f t="shared" si="3"/>
        <v>11176722</v>
      </c>
      <c r="J25" s="4">
        <v>143</v>
      </c>
      <c r="K25" s="7">
        <f t="shared" si="4"/>
        <v>14143993</v>
      </c>
      <c r="L25" s="4">
        <v>173</v>
      </c>
      <c r="M25" s="7">
        <f t="shared" si="5"/>
        <v>17111265</v>
      </c>
      <c r="N25" s="4">
        <v>203</v>
      </c>
      <c r="O25" s="7">
        <f t="shared" si="6"/>
        <v>20078536</v>
      </c>
      <c r="P25" s="4">
        <v>233</v>
      </c>
      <c r="Q25" s="7">
        <f t="shared" si="7"/>
        <v>23045807</v>
      </c>
      <c r="R25" s="4">
        <v>263</v>
      </c>
      <c r="S25" s="7">
        <f t="shared" si="8"/>
        <v>26013078</v>
      </c>
      <c r="T25" s="4">
        <v>293</v>
      </c>
      <c r="U25" s="7">
        <f t="shared" si="9"/>
        <v>28980350</v>
      </c>
      <c r="V25" s="4">
        <v>323</v>
      </c>
      <c r="W25" s="7">
        <f t="shared" si="10"/>
        <v>31947621</v>
      </c>
      <c r="X25" s="4">
        <v>353</v>
      </c>
      <c r="Y25" s="7">
        <f t="shared" si="11"/>
        <v>34914892</v>
      </c>
      <c r="AB25" s="4">
        <v>143</v>
      </c>
      <c r="AC25" s="7">
        <f t="shared" si="12"/>
        <v>15317769</v>
      </c>
      <c r="AD25" s="4">
        <v>173</v>
      </c>
      <c r="AE25" s="7">
        <f t="shared" si="13"/>
        <v>19951308</v>
      </c>
      <c r="AF25" s="4">
        <v>203</v>
      </c>
      <c r="AG25" s="7">
        <f t="shared" si="14"/>
        <v>25077341</v>
      </c>
    </row>
    <row r="26" spans="1:33" x14ac:dyDescent="0.2">
      <c r="A26" s="6"/>
      <c r="B26" s="4">
        <v>24</v>
      </c>
      <c r="C26" s="7">
        <f t="shared" si="0"/>
        <v>1782826</v>
      </c>
      <c r="D26" s="4">
        <v>54</v>
      </c>
      <c r="E26" s="7">
        <f t="shared" si="1"/>
        <v>4454601</v>
      </c>
      <c r="F26" s="4">
        <v>84</v>
      </c>
      <c r="G26" s="7">
        <f t="shared" si="2"/>
        <v>7618870</v>
      </c>
      <c r="H26" s="4">
        <v>114</v>
      </c>
      <c r="I26" s="7">
        <f t="shared" si="3"/>
        <v>11275631</v>
      </c>
      <c r="J26" s="4">
        <v>144</v>
      </c>
      <c r="K26" s="7">
        <f t="shared" si="4"/>
        <v>14242902</v>
      </c>
      <c r="L26" s="4">
        <v>174</v>
      </c>
      <c r="M26" s="7">
        <f t="shared" si="5"/>
        <v>17210174</v>
      </c>
      <c r="N26" s="4">
        <v>204</v>
      </c>
      <c r="O26" s="7">
        <f t="shared" si="6"/>
        <v>20177445</v>
      </c>
      <c r="P26" s="4">
        <v>234</v>
      </c>
      <c r="Q26" s="7">
        <f t="shared" si="7"/>
        <v>23144716</v>
      </c>
      <c r="R26" s="4">
        <v>264</v>
      </c>
      <c r="S26" s="7">
        <f t="shared" si="8"/>
        <v>26111987</v>
      </c>
      <c r="T26" s="4">
        <v>294</v>
      </c>
      <c r="U26" s="7">
        <f t="shared" si="9"/>
        <v>29079259</v>
      </c>
      <c r="V26" s="4">
        <v>324</v>
      </c>
      <c r="W26" s="7">
        <f t="shared" si="10"/>
        <v>32046530</v>
      </c>
      <c r="X26" s="4">
        <v>354</v>
      </c>
      <c r="Y26" s="7">
        <f t="shared" si="11"/>
        <v>35013801</v>
      </c>
      <c r="AB26" s="4">
        <v>144</v>
      </c>
      <c r="AC26" s="7">
        <f t="shared" si="12"/>
        <v>15424886</v>
      </c>
      <c r="AD26" s="4">
        <v>174</v>
      </c>
      <c r="AE26" s="7">
        <f t="shared" si="13"/>
        <v>20066634</v>
      </c>
      <c r="AF26" s="4">
        <v>204</v>
      </c>
      <c r="AG26" s="7">
        <f t="shared" si="14"/>
        <v>25200875</v>
      </c>
    </row>
    <row r="27" spans="1:33" x14ac:dyDescent="0.2">
      <c r="A27" s="6"/>
      <c r="B27" s="4">
        <v>25</v>
      </c>
      <c r="C27" s="7">
        <f t="shared" si="0"/>
        <v>1857110</v>
      </c>
      <c r="D27" s="4">
        <v>55</v>
      </c>
      <c r="E27" s="7">
        <f t="shared" si="1"/>
        <v>4537094</v>
      </c>
      <c r="F27" s="4">
        <v>85</v>
      </c>
      <c r="G27" s="7">
        <f t="shared" si="2"/>
        <v>7709570</v>
      </c>
      <c r="H27" s="4">
        <v>115</v>
      </c>
      <c r="I27" s="7">
        <f t="shared" si="3"/>
        <v>11374540</v>
      </c>
      <c r="J27" s="4">
        <v>145</v>
      </c>
      <c r="K27" s="7">
        <f t="shared" si="4"/>
        <v>14341811</v>
      </c>
      <c r="L27" s="4">
        <v>175</v>
      </c>
      <c r="M27" s="7">
        <f t="shared" si="5"/>
        <v>17309083</v>
      </c>
      <c r="N27" s="4">
        <v>205</v>
      </c>
      <c r="O27" s="7">
        <f t="shared" si="6"/>
        <v>20276354</v>
      </c>
      <c r="P27" s="4">
        <v>235</v>
      </c>
      <c r="Q27" s="7">
        <f t="shared" si="7"/>
        <v>23243625</v>
      </c>
      <c r="R27" s="4">
        <v>265</v>
      </c>
      <c r="S27" s="7">
        <f t="shared" si="8"/>
        <v>26210896</v>
      </c>
      <c r="T27" s="4">
        <v>295</v>
      </c>
      <c r="U27" s="7">
        <f t="shared" si="9"/>
        <v>29178168</v>
      </c>
      <c r="V27" s="4">
        <v>325</v>
      </c>
      <c r="W27" s="7">
        <f t="shared" si="10"/>
        <v>32145439</v>
      </c>
      <c r="X27" s="4">
        <v>355</v>
      </c>
      <c r="Y27" s="7">
        <f t="shared" si="11"/>
        <v>35112710</v>
      </c>
      <c r="AB27" s="4">
        <v>145</v>
      </c>
      <c r="AC27" s="7">
        <f t="shared" si="12"/>
        <v>15532003</v>
      </c>
      <c r="AD27" s="4">
        <v>175</v>
      </c>
      <c r="AE27" s="7">
        <f t="shared" si="13"/>
        <v>20181959</v>
      </c>
      <c r="AF27" s="4">
        <v>205</v>
      </c>
      <c r="AG27" s="7">
        <f t="shared" si="14"/>
        <v>25324409</v>
      </c>
    </row>
    <row r="28" spans="1:33" x14ac:dyDescent="0.2">
      <c r="A28" s="6"/>
      <c r="B28" s="4">
        <v>26</v>
      </c>
      <c r="C28" s="7">
        <f t="shared" si="0"/>
        <v>1931394</v>
      </c>
      <c r="D28" s="4">
        <v>56</v>
      </c>
      <c r="E28" s="7">
        <f t="shared" si="1"/>
        <v>4619586</v>
      </c>
      <c r="F28" s="4">
        <v>86</v>
      </c>
      <c r="G28" s="7">
        <f t="shared" si="2"/>
        <v>7800271</v>
      </c>
      <c r="H28" s="4">
        <v>116</v>
      </c>
      <c r="I28" s="7">
        <f t="shared" si="3"/>
        <v>11473449</v>
      </c>
      <c r="J28" s="4">
        <v>146</v>
      </c>
      <c r="K28" s="7">
        <f t="shared" si="4"/>
        <v>14440720</v>
      </c>
      <c r="L28" s="4">
        <v>176</v>
      </c>
      <c r="M28" s="7">
        <f t="shared" si="5"/>
        <v>17407992</v>
      </c>
      <c r="N28" s="4">
        <v>206</v>
      </c>
      <c r="O28" s="7">
        <f t="shared" si="6"/>
        <v>20375263</v>
      </c>
      <c r="P28" s="4">
        <v>236</v>
      </c>
      <c r="Q28" s="7">
        <f t="shared" si="7"/>
        <v>23342534</v>
      </c>
      <c r="R28" s="4">
        <v>266</v>
      </c>
      <c r="S28" s="7">
        <f t="shared" si="8"/>
        <v>26309805</v>
      </c>
      <c r="T28" s="4">
        <v>296</v>
      </c>
      <c r="U28" s="7">
        <f t="shared" si="9"/>
        <v>29277077</v>
      </c>
      <c r="V28" s="4">
        <v>326</v>
      </c>
      <c r="W28" s="7">
        <f t="shared" si="10"/>
        <v>32244348</v>
      </c>
      <c r="X28" s="4">
        <v>356</v>
      </c>
      <c r="Y28" s="7">
        <f t="shared" si="11"/>
        <v>35211619</v>
      </c>
      <c r="AB28" s="4">
        <v>146</v>
      </c>
      <c r="AC28" s="7">
        <f t="shared" si="12"/>
        <v>15639120</v>
      </c>
      <c r="AD28" s="4">
        <v>176</v>
      </c>
      <c r="AE28" s="7">
        <f t="shared" si="13"/>
        <v>20297285</v>
      </c>
      <c r="AF28" s="4">
        <v>206</v>
      </c>
      <c r="AG28" s="7">
        <f t="shared" si="14"/>
        <v>25447942</v>
      </c>
    </row>
    <row r="29" spans="1:33" x14ac:dyDescent="0.2">
      <c r="A29" s="6"/>
      <c r="B29" s="4">
        <v>27</v>
      </c>
      <c r="C29" s="7">
        <f t="shared" si="0"/>
        <v>2005679</v>
      </c>
      <c r="D29" s="4">
        <v>57</v>
      </c>
      <c r="E29" s="7">
        <f t="shared" si="1"/>
        <v>4702079</v>
      </c>
      <c r="F29" s="4">
        <v>87</v>
      </c>
      <c r="G29" s="7">
        <f t="shared" si="2"/>
        <v>7890972</v>
      </c>
      <c r="H29" s="4">
        <v>117</v>
      </c>
      <c r="I29" s="7">
        <f t="shared" si="3"/>
        <v>11572358</v>
      </c>
      <c r="J29" s="4">
        <v>147</v>
      </c>
      <c r="K29" s="7">
        <f t="shared" si="4"/>
        <v>14539630</v>
      </c>
      <c r="L29" s="4">
        <v>177</v>
      </c>
      <c r="M29" s="7">
        <f t="shared" si="5"/>
        <v>17506901</v>
      </c>
      <c r="N29" s="4">
        <v>207</v>
      </c>
      <c r="O29" s="7">
        <f t="shared" si="6"/>
        <v>20474172</v>
      </c>
      <c r="P29" s="4">
        <v>237</v>
      </c>
      <c r="Q29" s="7">
        <f t="shared" si="7"/>
        <v>23441443</v>
      </c>
      <c r="R29" s="4">
        <v>267</v>
      </c>
      <c r="S29" s="7">
        <f t="shared" si="8"/>
        <v>26408714</v>
      </c>
      <c r="T29" s="4">
        <v>297</v>
      </c>
      <c r="U29" s="7">
        <f t="shared" si="9"/>
        <v>29375986</v>
      </c>
      <c r="V29" s="4">
        <v>327</v>
      </c>
      <c r="W29" s="7">
        <f t="shared" si="10"/>
        <v>32343257</v>
      </c>
      <c r="X29" s="4">
        <v>357</v>
      </c>
      <c r="Y29" s="7">
        <f t="shared" si="11"/>
        <v>35310528</v>
      </c>
      <c r="AB29" s="4">
        <v>147</v>
      </c>
      <c r="AC29" s="7">
        <f t="shared" si="12"/>
        <v>15746238</v>
      </c>
      <c r="AD29" s="4">
        <v>177</v>
      </c>
      <c r="AE29" s="7">
        <f t="shared" si="13"/>
        <v>20412610</v>
      </c>
      <c r="AF29" s="4">
        <v>207</v>
      </c>
      <c r="AG29" s="7">
        <f t="shared" si="14"/>
        <v>25571476</v>
      </c>
    </row>
    <row r="30" spans="1:33" x14ac:dyDescent="0.2">
      <c r="A30" s="6"/>
      <c r="B30" s="4">
        <v>28</v>
      </c>
      <c r="C30" s="7">
        <f t="shared" si="0"/>
        <v>2079963</v>
      </c>
      <c r="D30" s="4">
        <v>58</v>
      </c>
      <c r="E30" s="7">
        <f t="shared" si="1"/>
        <v>4784571</v>
      </c>
      <c r="F30" s="4">
        <v>88</v>
      </c>
      <c r="G30" s="7">
        <f t="shared" si="2"/>
        <v>7981673</v>
      </c>
      <c r="H30" s="4">
        <v>118</v>
      </c>
      <c r="I30" s="7">
        <f t="shared" si="3"/>
        <v>11671267</v>
      </c>
      <c r="J30" s="4">
        <v>148</v>
      </c>
      <c r="K30" s="7">
        <f t="shared" si="4"/>
        <v>14638539</v>
      </c>
      <c r="L30" s="4">
        <v>178</v>
      </c>
      <c r="M30" s="7">
        <f t="shared" si="5"/>
        <v>17605810</v>
      </c>
      <c r="N30" s="4">
        <v>208</v>
      </c>
      <c r="O30" s="7">
        <f t="shared" si="6"/>
        <v>20573081</v>
      </c>
      <c r="P30" s="4">
        <v>238</v>
      </c>
      <c r="Q30" s="7">
        <f t="shared" si="7"/>
        <v>23540352</v>
      </c>
      <c r="R30" s="4">
        <v>268</v>
      </c>
      <c r="S30" s="7">
        <f t="shared" si="8"/>
        <v>26507624</v>
      </c>
      <c r="T30" s="4">
        <v>298</v>
      </c>
      <c r="U30" s="7">
        <f t="shared" si="9"/>
        <v>29474895</v>
      </c>
      <c r="V30" s="4">
        <v>328</v>
      </c>
      <c r="W30" s="7">
        <f t="shared" si="10"/>
        <v>32442166</v>
      </c>
      <c r="X30" s="4">
        <v>358</v>
      </c>
      <c r="Y30" s="7">
        <f t="shared" si="11"/>
        <v>35409437</v>
      </c>
      <c r="AB30" s="4">
        <v>148</v>
      </c>
      <c r="AC30" s="7">
        <f t="shared" si="12"/>
        <v>15853355</v>
      </c>
      <c r="AD30" s="4">
        <v>178</v>
      </c>
      <c r="AE30" s="7">
        <f t="shared" si="13"/>
        <v>20527936</v>
      </c>
      <c r="AF30" s="4">
        <v>208</v>
      </c>
      <c r="AG30" s="7">
        <f t="shared" si="14"/>
        <v>25695010</v>
      </c>
    </row>
    <row r="31" spans="1:33" x14ac:dyDescent="0.2">
      <c r="A31" s="6"/>
      <c r="B31" s="4">
        <v>29</v>
      </c>
      <c r="C31" s="7">
        <f t="shared" si="0"/>
        <v>2154248</v>
      </c>
      <c r="D31" s="4">
        <v>59</v>
      </c>
      <c r="E31" s="7">
        <f t="shared" si="1"/>
        <v>4867064</v>
      </c>
      <c r="F31" s="4">
        <v>89</v>
      </c>
      <c r="G31" s="7">
        <f t="shared" si="2"/>
        <v>8072374</v>
      </c>
      <c r="H31" s="4">
        <v>119</v>
      </c>
      <c r="I31" s="7">
        <f t="shared" si="3"/>
        <v>11770176</v>
      </c>
      <c r="J31" s="4">
        <v>149</v>
      </c>
      <c r="K31" s="7">
        <f t="shared" si="4"/>
        <v>14737448</v>
      </c>
      <c r="L31" s="4">
        <v>179</v>
      </c>
      <c r="M31" s="7">
        <f t="shared" si="5"/>
        <v>17704719</v>
      </c>
      <c r="N31" s="4">
        <v>209</v>
      </c>
      <c r="O31" s="7">
        <f t="shared" si="6"/>
        <v>20671990</v>
      </c>
      <c r="P31" s="4">
        <v>239</v>
      </c>
      <c r="Q31" s="7">
        <f t="shared" si="7"/>
        <v>23639261</v>
      </c>
      <c r="R31" s="4">
        <v>269</v>
      </c>
      <c r="S31" s="7">
        <f t="shared" si="8"/>
        <v>26606533</v>
      </c>
      <c r="T31" s="4">
        <v>299</v>
      </c>
      <c r="U31" s="7">
        <f t="shared" si="9"/>
        <v>29573804</v>
      </c>
      <c r="V31" s="4">
        <v>329</v>
      </c>
      <c r="W31" s="7">
        <f t="shared" si="10"/>
        <v>32541075</v>
      </c>
      <c r="X31" s="4">
        <v>359</v>
      </c>
      <c r="Y31" s="7">
        <f t="shared" si="11"/>
        <v>35508346</v>
      </c>
      <c r="AB31" s="4">
        <v>149</v>
      </c>
      <c r="AC31" s="7">
        <f t="shared" si="12"/>
        <v>15960472</v>
      </c>
      <c r="AD31" s="4">
        <v>179</v>
      </c>
      <c r="AE31" s="7">
        <f t="shared" si="13"/>
        <v>20643261</v>
      </c>
      <c r="AF31" s="4">
        <v>209</v>
      </c>
      <c r="AG31" s="7">
        <f t="shared" si="14"/>
        <v>25818544</v>
      </c>
    </row>
    <row r="32" spans="1:33" x14ac:dyDescent="0.2">
      <c r="A32" s="6"/>
      <c r="B32" s="4">
        <v>30</v>
      </c>
      <c r="C32" s="7">
        <f t="shared" si="0"/>
        <v>2228532</v>
      </c>
      <c r="D32" s="4">
        <v>60</v>
      </c>
      <c r="E32" s="7">
        <f t="shared" si="1"/>
        <v>4949557</v>
      </c>
      <c r="F32" s="4">
        <v>90</v>
      </c>
      <c r="G32" s="7">
        <f t="shared" si="2"/>
        <v>8163074</v>
      </c>
      <c r="H32" s="4">
        <v>120</v>
      </c>
      <c r="I32" s="7">
        <f t="shared" si="3"/>
        <v>11869085</v>
      </c>
      <c r="J32" s="4">
        <v>150</v>
      </c>
      <c r="K32" s="7">
        <f t="shared" si="4"/>
        <v>14836357</v>
      </c>
      <c r="L32" s="4">
        <v>180</v>
      </c>
      <c r="M32" s="7">
        <f t="shared" si="5"/>
        <v>17803628</v>
      </c>
      <c r="N32" s="4">
        <v>210</v>
      </c>
      <c r="O32" s="7">
        <f t="shared" si="6"/>
        <v>20770899</v>
      </c>
      <c r="P32" s="4">
        <v>240</v>
      </c>
      <c r="Q32" s="7">
        <f t="shared" si="7"/>
        <v>23738170</v>
      </c>
      <c r="R32" s="4">
        <v>270</v>
      </c>
      <c r="S32" s="7">
        <f t="shared" si="8"/>
        <v>26705442</v>
      </c>
      <c r="T32" s="4">
        <v>300</v>
      </c>
      <c r="U32" s="7">
        <f t="shared" si="9"/>
        <v>29672713</v>
      </c>
      <c r="V32" s="4">
        <v>330</v>
      </c>
      <c r="W32" s="7">
        <f t="shared" si="10"/>
        <v>32639984</v>
      </c>
      <c r="X32" s="4">
        <v>360</v>
      </c>
      <c r="Y32" s="7">
        <f t="shared" si="11"/>
        <v>35607255</v>
      </c>
      <c r="AB32" s="4">
        <v>150</v>
      </c>
      <c r="AC32" s="7">
        <f t="shared" si="12"/>
        <v>16067590</v>
      </c>
      <c r="AD32" s="4">
        <v>180</v>
      </c>
      <c r="AE32" s="7">
        <f t="shared" si="13"/>
        <v>20758587</v>
      </c>
      <c r="AF32" s="4">
        <v>210</v>
      </c>
      <c r="AG32" s="7">
        <f t="shared" si="14"/>
        <v>25942077</v>
      </c>
    </row>
    <row r="33" spans="2:33" x14ac:dyDescent="0.2"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AB33" s="1"/>
      <c r="AC33" s="1"/>
      <c r="AD33" s="1"/>
      <c r="AE33" s="1"/>
      <c r="AF33" s="1"/>
      <c r="AG33" s="1"/>
    </row>
  </sheetData>
  <mergeCells count="15">
    <mergeCell ref="AB1:AB2"/>
    <mergeCell ref="AD1:AD2"/>
    <mergeCell ref="AF1:AF2"/>
    <mergeCell ref="L1:L2"/>
    <mergeCell ref="N1:N2"/>
    <mergeCell ref="P1:P2"/>
    <mergeCell ref="R1:R2"/>
    <mergeCell ref="T1:T2"/>
    <mergeCell ref="V1:V2"/>
    <mergeCell ref="X1:X2"/>
    <mergeCell ref="B1:B2"/>
    <mergeCell ref="D1:D2"/>
    <mergeCell ref="F1:F2"/>
    <mergeCell ref="H1:H2"/>
    <mergeCell ref="J1:J2"/>
  </mergeCells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입주지연보상금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seonghee</dc:creator>
  <cp:lastModifiedBy>품질</cp:lastModifiedBy>
  <dcterms:created xsi:type="dcterms:W3CDTF">2022-02-07T11:04:34Z</dcterms:created>
  <dcterms:modified xsi:type="dcterms:W3CDTF">2025-10-10T04:10:27Z</dcterms:modified>
</cp:coreProperties>
</file>