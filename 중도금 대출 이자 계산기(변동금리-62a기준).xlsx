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ADA4B1E-699B-4378-A350-B38C80DC4C9C}" xr6:coauthVersionLast="36" xr6:coauthVersionMax="36" xr10:uidLastSave="{00000000-0000-0000-0000-000000000000}"/>
  <bookViews>
    <workbookView xWindow="0" yWindow="0" windowWidth="23040" windowHeight="8280" xr2:uid="{00000000-000D-0000-FFFF-FFFF00000000}"/>
  </bookViews>
  <sheets>
    <sheet name="Sheet1" sheetId="2" r:id="rId1"/>
  </sheets>
  <calcPr calcId="191029"/>
</workbook>
</file>

<file path=xl/calcChain.xml><?xml version="1.0" encoding="utf-8"?>
<calcChain xmlns="http://schemas.openxmlformats.org/spreadsheetml/2006/main">
  <c r="I32" i="2" l="1"/>
  <c r="H32" i="2"/>
  <c r="G32" i="2"/>
  <c r="F32" i="2"/>
  <c r="E32" i="2"/>
  <c r="D32" i="2"/>
  <c r="I35" i="2"/>
  <c r="H35" i="2"/>
  <c r="G35" i="2"/>
  <c r="F35" i="2"/>
  <c r="E35" i="2"/>
  <c r="D35" i="2"/>
  <c r="I29" i="2"/>
  <c r="H29" i="2"/>
  <c r="G29" i="2"/>
  <c r="F29" i="2"/>
  <c r="E29" i="2"/>
  <c r="D29" i="2"/>
  <c r="I26" i="2"/>
  <c r="H26" i="2"/>
  <c r="G26" i="2"/>
  <c r="F26" i="2"/>
  <c r="E26" i="2"/>
  <c r="D26" i="2"/>
  <c r="E23" i="2"/>
  <c r="E21" i="2" s="1"/>
  <c r="F23" i="2"/>
  <c r="F21" i="2" s="1"/>
  <c r="G23" i="2"/>
  <c r="G21" i="2" s="1"/>
  <c r="H23" i="2"/>
  <c r="H21" i="2" s="1"/>
  <c r="I23" i="2"/>
  <c r="I21" i="2" s="1"/>
  <c r="D23" i="2"/>
  <c r="I19" i="2"/>
  <c r="H19" i="2"/>
  <c r="G19" i="2"/>
  <c r="F19" i="2"/>
  <c r="E19" i="2"/>
  <c r="D19" i="2"/>
  <c r="H33" i="2" l="1"/>
  <c r="H34" i="2"/>
  <c r="I33" i="2"/>
  <c r="I34" i="2" s="1"/>
  <c r="H30" i="2"/>
  <c r="H31" i="2" s="1"/>
  <c r="I30" i="2"/>
  <c r="I31" i="2" s="1"/>
  <c r="E30" i="2"/>
  <c r="E31" i="2" s="1"/>
  <c r="G30" i="2"/>
  <c r="G31" i="2" s="1"/>
  <c r="F30" i="2"/>
  <c r="F31" i="2" s="1"/>
  <c r="D30" i="2"/>
  <c r="D31" i="2" s="1"/>
  <c r="E33" i="2"/>
  <c r="E34" i="2"/>
  <c r="G33" i="2"/>
  <c r="G34" i="2" s="1"/>
  <c r="F33" i="2"/>
  <c r="F34" i="2" s="1"/>
  <c r="D33" i="2"/>
  <c r="D34" i="2" s="1"/>
  <c r="E22" i="2"/>
  <c r="F27" i="2"/>
  <c r="F28" i="2" s="1"/>
  <c r="G24" i="2"/>
  <c r="G25" i="2" s="1"/>
  <c r="I27" i="2"/>
  <c r="I28" i="2" s="1"/>
  <c r="E24" i="2"/>
  <c r="E25" i="2" s="1"/>
  <c r="H27" i="2"/>
  <c r="H28" i="2" s="1"/>
  <c r="H24" i="2"/>
  <c r="H25" i="2" s="1"/>
  <c r="I24" i="2"/>
  <c r="I25" i="2" s="1"/>
  <c r="D24" i="2"/>
  <c r="D25" i="2" s="1"/>
  <c r="D27" i="2"/>
  <c r="D28" i="2" s="1"/>
  <c r="F22" i="2"/>
  <c r="G22" i="2"/>
  <c r="G27" i="2"/>
  <c r="G28" i="2" s="1"/>
  <c r="E27" i="2"/>
  <c r="E28" i="2" s="1"/>
  <c r="H22" i="2"/>
  <c r="I22" i="2"/>
  <c r="F24" i="2"/>
  <c r="F25" i="2" s="1"/>
  <c r="D21" i="2"/>
  <c r="D22" i="2" s="1"/>
  <c r="J33" i="2" l="1"/>
  <c r="J30" i="2"/>
  <c r="J27" i="2"/>
  <c r="J21" i="2"/>
  <c r="J24" i="2"/>
  <c r="J36" i="2" l="1"/>
</calcChain>
</file>

<file path=xl/sharedStrings.xml><?xml version="1.0" encoding="utf-8"?>
<sst xmlns="http://schemas.openxmlformats.org/spreadsheetml/2006/main" count="48" uniqueCount="35">
  <si>
    <t>단위 : 원</t>
    <phoneticPr fontId="1" type="noConversion"/>
  </si>
  <si>
    <t>회차별 금액</t>
    <phoneticPr fontId="1" type="noConversion"/>
  </si>
  <si>
    <t>납부일</t>
    <phoneticPr fontId="1" type="noConversion"/>
  </si>
  <si>
    <t>입주예정일</t>
    <phoneticPr fontId="1" type="noConversion"/>
  </si>
  <si>
    <t>일수</t>
    <phoneticPr fontId="1" type="noConversion"/>
  </si>
  <si>
    <t>1회차</t>
    <phoneticPr fontId="1" type="noConversion"/>
  </si>
  <si>
    <t>2회차</t>
    <phoneticPr fontId="1" type="noConversion"/>
  </si>
  <si>
    <t>3회차</t>
    <phoneticPr fontId="1" type="noConversion"/>
  </si>
  <si>
    <t>4회차</t>
    <phoneticPr fontId="1" type="noConversion"/>
  </si>
  <si>
    <t>5회차</t>
    <phoneticPr fontId="1" type="noConversion"/>
  </si>
  <si>
    <t>6회차</t>
    <phoneticPr fontId="1" type="noConversion"/>
  </si>
  <si>
    <t>중도금 대출 이자 합계</t>
    <phoneticPr fontId="1" type="noConversion"/>
  </si>
  <si>
    <t>최초 대출 금리(A)</t>
    <phoneticPr fontId="1" type="noConversion"/>
  </si>
  <si>
    <t>변경 대출 금리(B)</t>
    <phoneticPr fontId="1" type="noConversion"/>
  </si>
  <si>
    <t>변경 대출 금리(C)</t>
    <phoneticPr fontId="1" type="noConversion"/>
  </si>
  <si>
    <t>변경 대출 금리(D)</t>
    <phoneticPr fontId="1" type="noConversion"/>
  </si>
  <si>
    <t>대출 금리 변경일(B)</t>
    <phoneticPr fontId="1" type="noConversion"/>
  </si>
  <si>
    <t>대출 금리 변경일(C)</t>
    <phoneticPr fontId="1" type="noConversion"/>
  </si>
  <si>
    <t>대출 금리 변경일(D)</t>
    <phoneticPr fontId="1" type="noConversion"/>
  </si>
  <si>
    <t>B 이자 합계</t>
    <phoneticPr fontId="1" type="noConversion"/>
  </si>
  <si>
    <t>A 이자 합계</t>
    <phoneticPr fontId="1" type="noConversion"/>
  </si>
  <si>
    <t>C 이자 합계</t>
    <phoneticPr fontId="1" type="noConversion"/>
  </si>
  <si>
    <t>D 이자 합계</t>
    <phoneticPr fontId="1" type="noConversion"/>
  </si>
  <si>
    <t>박스 안의 내용을 채워주세요.</t>
    <phoneticPr fontId="1" type="noConversion"/>
  </si>
  <si>
    <r>
      <t>중도금 대출 이자 계산기</t>
    </r>
    <r>
      <rPr>
        <sz val="22"/>
        <color rgb="FFFF0000"/>
        <rFont val="맑은 고딕"/>
        <family val="3"/>
        <charset val="129"/>
        <scheme val="minor"/>
      </rPr>
      <t>(변동금리)</t>
    </r>
    <phoneticPr fontId="1" type="noConversion"/>
  </si>
  <si>
    <t>변경 대출 금리(E)</t>
    <phoneticPr fontId="1" type="noConversion"/>
  </si>
  <si>
    <t>대출 금리 변경일(E)</t>
    <phoneticPr fontId="1" type="noConversion"/>
  </si>
  <si>
    <t>A 금리</t>
    <phoneticPr fontId="1" type="noConversion"/>
  </si>
  <si>
    <t>이자</t>
    <phoneticPr fontId="1" type="noConversion"/>
  </si>
  <si>
    <t>B 금리</t>
    <phoneticPr fontId="1" type="noConversion"/>
  </si>
  <si>
    <t>적용일</t>
    <phoneticPr fontId="1" type="noConversion"/>
  </si>
  <si>
    <t>C 금리</t>
    <phoneticPr fontId="1" type="noConversion"/>
  </si>
  <si>
    <t>D 금리</t>
    <phoneticPr fontId="1" type="noConversion"/>
  </si>
  <si>
    <t>E 금리</t>
    <phoneticPr fontId="1" type="noConversion"/>
  </si>
  <si>
    <t>E 이자 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</si>
</sst>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#,##0_);[Red]\(#,##0\)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22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41" fontId="2" fillId="3" borderId="5" xfId="0" applyNumberFormat="1" applyFont="1" applyFill="1" applyBorder="1" applyAlignment="1">
      <alignment horizontal="center" vertical="center"/>
    </xf>
    <xf numFmtId="14" fontId="0" fillId="2" borderId="24" xfId="0" applyNumberFormat="1" applyFill="1" applyBorder="1" applyAlignment="1">
      <alignment horizontal="center" vertical="center"/>
    </xf>
    <xf numFmtId="14" fontId="0" fillId="2" borderId="25" xfId="0" applyNumberFormat="1" applyFill="1" applyBorder="1" applyAlignment="1">
      <alignment horizontal="center" vertical="center"/>
    </xf>
    <xf numFmtId="14" fontId="0" fillId="2" borderId="26" xfId="0" applyNumberFormat="1" applyFill="1" applyBorder="1" applyAlignment="1">
      <alignment horizontal="center" vertical="center"/>
    </xf>
    <xf numFmtId="10" fontId="0" fillId="2" borderId="20" xfId="0" applyNumberFormat="1" applyFill="1" applyBorder="1" applyAlignment="1">
      <alignment horizontal="center" vertical="center"/>
    </xf>
    <xf numFmtId="10" fontId="0" fillId="2" borderId="21" xfId="0" applyNumberFormat="1" applyFill="1" applyBorder="1" applyAlignment="1">
      <alignment horizontal="center" vertical="center"/>
    </xf>
    <xf numFmtId="14" fontId="0" fillId="2" borderId="20" xfId="0" applyNumberFormat="1" applyFill="1" applyBorder="1" applyAlignment="1">
      <alignment horizontal="center" vertical="center"/>
    </xf>
    <xf numFmtId="14" fontId="0" fillId="2" borderId="2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41" fontId="0" fillId="6" borderId="27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4" fontId="0" fillId="7" borderId="5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41" fontId="0" fillId="7" borderId="27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14" fontId="0" fillId="8" borderId="5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41" fontId="0" fillId="8" borderId="27" xfId="1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14" fontId="0" fillId="9" borderId="5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41" fontId="0" fillId="9" borderId="27" xfId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14" fontId="0" fillId="10" borderId="5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41" fontId="0" fillId="10" borderId="27" xfId="1" applyFont="1" applyFill="1" applyBorder="1" applyAlignment="1">
      <alignment horizontal="center" vertical="center"/>
    </xf>
    <xf numFmtId="10" fontId="0" fillId="2" borderId="36" xfId="0" applyNumberFormat="1" applyFill="1" applyBorder="1" applyAlignment="1">
      <alignment horizontal="center" vertical="center"/>
    </xf>
    <xf numFmtId="14" fontId="0" fillId="2" borderId="36" xfId="0" applyNumberFormat="1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14" fontId="0" fillId="4" borderId="8" xfId="0" applyNumberFormat="1" applyFill="1" applyBorder="1" applyAlignment="1">
      <alignment horizontal="center" vertical="center"/>
    </xf>
    <xf numFmtId="14" fontId="0" fillId="4" borderId="5" xfId="0" applyNumberFormat="1" applyFill="1" applyBorder="1" applyAlignment="1">
      <alignment horizontal="center" vertical="center"/>
    </xf>
    <xf numFmtId="177" fontId="0" fillId="4" borderId="9" xfId="0" applyNumberFormat="1" applyFill="1" applyBorder="1" applyAlignment="1">
      <alignment horizontal="center" vertical="center"/>
    </xf>
    <xf numFmtId="14" fontId="0" fillId="2" borderId="14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15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77" fontId="0" fillId="2" borderId="11" xfId="1" applyNumberFormat="1" applyFont="1" applyFill="1" applyBorder="1" applyAlignment="1">
      <alignment horizontal="center" vertical="center"/>
    </xf>
    <xf numFmtId="177" fontId="0" fillId="2" borderId="12" xfId="1" applyNumberFormat="1" applyFont="1" applyFill="1" applyBorder="1" applyAlignment="1">
      <alignment horizontal="center" vertical="center"/>
    </xf>
    <xf numFmtId="177" fontId="0" fillId="2" borderId="13" xfId="1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10" fontId="0" fillId="2" borderId="16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41" fontId="0" fillId="6" borderId="9" xfId="0" applyNumberFormat="1" applyFill="1" applyBorder="1" applyAlignment="1">
      <alignment horizontal="center" vertical="center"/>
    </xf>
    <xf numFmtId="41" fontId="0" fillId="6" borderId="28" xfId="0" applyNumberFormat="1" applyFill="1" applyBorder="1" applyAlignment="1">
      <alignment horizontal="center" vertical="center"/>
    </xf>
    <xf numFmtId="41" fontId="0" fillId="7" borderId="9" xfId="0" applyNumberFormat="1" applyFill="1" applyBorder="1" applyAlignment="1">
      <alignment horizontal="center" vertical="center"/>
    </xf>
    <xf numFmtId="41" fontId="0" fillId="7" borderId="28" xfId="0" applyNumberFormat="1" applyFill="1" applyBorder="1" applyAlignment="1">
      <alignment horizontal="center" vertical="center"/>
    </xf>
    <xf numFmtId="41" fontId="0" fillId="8" borderId="9" xfId="0" applyNumberFormat="1" applyFill="1" applyBorder="1" applyAlignment="1">
      <alignment horizontal="center" vertical="center"/>
    </xf>
    <xf numFmtId="41" fontId="0" fillId="8" borderId="28" xfId="0" applyNumberFormat="1" applyFill="1" applyBorder="1" applyAlignment="1">
      <alignment horizontal="center" vertical="center"/>
    </xf>
    <xf numFmtId="41" fontId="0" fillId="9" borderId="9" xfId="0" applyNumberFormat="1" applyFill="1" applyBorder="1" applyAlignment="1">
      <alignment horizontal="center" vertical="center"/>
    </xf>
    <xf numFmtId="41" fontId="0" fillId="9" borderId="28" xfId="0" applyNumberFormat="1" applyFill="1" applyBorder="1" applyAlignment="1">
      <alignment horizontal="center" vertical="center"/>
    </xf>
    <xf numFmtId="41" fontId="0" fillId="10" borderId="9" xfId="0" applyNumberFormat="1" applyFill="1" applyBorder="1" applyAlignment="1">
      <alignment horizontal="center" vertical="center"/>
    </xf>
    <xf numFmtId="41" fontId="0" fillId="10" borderId="28" xfId="0" applyNumberForma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2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J36"/>
  <sheetViews>
    <sheetView tabSelected="1" topLeftCell="A7" zoomScale="70" zoomScaleNormal="70" workbookViewId="0">
      <selection activeCell="M7" sqref="M1:U1048576"/>
    </sheetView>
  </sheetViews>
  <sheetFormatPr defaultColWidth="9" defaultRowHeight="17.399999999999999" x14ac:dyDescent="0.4"/>
  <cols>
    <col min="1" max="1" width="9" style="1"/>
    <col min="2" max="10" width="13.69921875" style="1" customWidth="1"/>
    <col min="11" max="16384" width="9" style="1"/>
  </cols>
  <sheetData>
    <row r="5" spans="2:10" ht="18" thickBot="1" x14ac:dyDescent="0.45"/>
    <row r="6" spans="2:10" ht="16.5" customHeight="1" x14ac:dyDescent="0.4">
      <c r="B6" s="61" t="s">
        <v>24</v>
      </c>
      <c r="C6" s="62"/>
      <c r="D6" s="62"/>
      <c r="E6" s="62"/>
      <c r="F6" s="62"/>
      <c r="G6" s="62"/>
      <c r="H6" s="62"/>
      <c r="I6" s="62"/>
      <c r="J6" s="63"/>
    </row>
    <row r="7" spans="2:10" ht="17.25" customHeight="1" thickBot="1" x14ac:dyDescent="0.45">
      <c r="B7" s="64"/>
      <c r="C7" s="65"/>
      <c r="D7" s="65"/>
      <c r="E7" s="65"/>
      <c r="F7" s="65"/>
      <c r="G7" s="65"/>
      <c r="H7" s="65"/>
      <c r="I7" s="65"/>
      <c r="J7" s="66"/>
    </row>
    <row r="8" spans="2:10" ht="18" thickBot="1" x14ac:dyDescent="0.45"/>
    <row r="9" spans="2:10" ht="18" thickBot="1" x14ac:dyDescent="0.45">
      <c r="I9" s="67" t="s">
        <v>23</v>
      </c>
      <c r="J9" s="68"/>
    </row>
    <row r="10" spans="2:10" ht="18" thickBot="1" x14ac:dyDescent="0.45"/>
    <row r="11" spans="2:10" x14ac:dyDescent="0.4">
      <c r="B11" s="50" t="s">
        <v>1</v>
      </c>
      <c r="C11" s="50"/>
      <c r="D11" s="51"/>
      <c r="E11" s="54">
        <v>43140000</v>
      </c>
      <c r="F11" s="55"/>
      <c r="G11" s="56"/>
    </row>
    <row r="12" spans="2:10" x14ac:dyDescent="0.4">
      <c r="B12" s="52" t="s">
        <v>3</v>
      </c>
      <c r="C12" s="52"/>
      <c r="D12" s="53"/>
      <c r="E12" s="47">
        <v>46022</v>
      </c>
      <c r="F12" s="48"/>
      <c r="G12" s="49"/>
    </row>
    <row r="13" spans="2:10" ht="18" thickBot="1" x14ac:dyDescent="0.45">
      <c r="B13" s="80" t="s">
        <v>12</v>
      </c>
      <c r="C13" s="80"/>
      <c r="D13" s="81"/>
      <c r="E13" s="82">
        <v>6.08E-2</v>
      </c>
      <c r="F13" s="83"/>
      <c r="G13" s="84"/>
    </row>
    <row r="14" spans="2:10" x14ac:dyDescent="0.4">
      <c r="B14" s="69" t="s">
        <v>13</v>
      </c>
      <c r="C14" s="70"/>
      <c r="D14" s="7">
        <v>5.5399999999999998E-2</v>
      </c>
      <c r="E14" s="71" t="s">
        <v>16</v>
      </c>
      <c r="F14" s="72"/>
      <c r="G14" s="9">
        <v>45071</v>
      </c>
    </row>
    <row r="15" spans="2:10" x14ac:dyDescent="0.4">
      <c r="B15" s="73" t="s">
        <v>14</v>
      </c>
      <c r="C15" s="74"/>
      <c r="D15" s="8">
        <v>6.0699999999999997E-2</v>
      </c>
      <c r="E15" s="75" t="s">
        <v>17</v>
      </c>
      <c r="F15" s="74"/>
      <c r="G15" s="10">
        <v>45255</v>
      </c>
    </row>
    <row r="16" spans="2:10" x14ac:dyDescent="0.4">
      <c r="B16" s="76" t="s">
        <v>15</v>
      </c>
      <c r="C16" s="77"/>
      <c r="D16" s="8">
        <v>5.6399999999999999E-2</v>
      </c>
      <c r="E16" s="78" t="s">
        <v>18</v>
      </c>
      <c r="F16" s="79"/>
      <c r="G16" s="10">
        <v>45437</v>
      </c>
    </row>
    <row r="17" spans="2:10" ht="18" thickBot="1" x14ac:dyDescent="0.45">
      <c r="B17" s="110" t="s">
        <v>25</v>
      </c>
      <c r="C17" s="111"/>
      <c r="D17" s="41">
        <v>5.4699999999999999E-2</v>
      </c>
      <c r="E17" s="57" t="s">
        <v>26</v>
      </c>
      <c r="F17" s="58"/>
      <c r="G17" s="42">
        <v>45621</v>
      </c>
      <c r="J17" s="2" t="s">
        <v>0</v>
      </c>
    </row>
    <row r="18" spans="2:10" x14ac:dyDescent="0.4">
      <c r="B18" s="59"/>
      <c r="C18" s="60"/>
      <c r="D18" s="11" t="s">
        <v>5</v>
      </c>
      <c r="E18" s="13" t="s">
        <v>6</v>
      </c>
      <c r="F18" s="11" t="s">
        <v>7</v>
      </c>
      <c r="G18" s="11" t="s">
        <v>8</v>
      </c>
      <c r="H18" s="11" t="s">
        <v>9</v>
      </c>
      <c r="I18" s="11" t="s">
        <v>10</v>
      </c>
      <c r="J18" s="12"/>
    </row>
    <row r="19" spans="2:10" ht="18" thickBot="1" x14ac:dyDescent="0.45">
      <c r="B19" s="59" t="s">
        <v>1</v>
      </c>
      <c r="C19" s="60"/>
      <c r="D19" s="46">
        <f>E11</f>
        <v>43140000</v>
      </c>
      <c r="E19" s="46">
        <f>E11</f>
        <v>43140000</v>
      </c>
      <c r="F19" s="46">
        <f>E11</f>
        <v>43140000</v>
      </c>
      <c r="G19" s="46">
        <f>E11</f>
        <v>43140000</v>
      </c>
      <c r="H19" s="46">
        <f>E11</f>
        <v>43140000</v>
      </c>
      <c r="I19" s="46">
        <f>E11</f>
        <v>43140000</v>
      </c>
      <c r="J19" s="12"/>
    </row>
    <row r="20" spans="2:10" ht="18" thickBot="1" x14ac:dyDescent="0.45">
      <c r="B20" s="59" t="s">
        <v>2</v>
      </c>
      <c r="C20" s="101"/>
      <c r="D20" s="4">
        <v>44890</v>
      </c>
      <c r="E20" s="5">
        <v>45071</v>
      </c>
      <c r="F20" s="5">
        <v>45257</v>
      </c>
      <c r="G20" s="5">
        <v>45682</v>
      </c>
      <c r="H20" s="5">
        <v>45682</v>
      </c>
      <c r="I20" s="6">
        <v>45802</v>
      </c>
      <c r="J20" s="17" t="s">
        <v>20</v>
      </c>
    </row>
    <row r="21" spans="2:10" x14ac:dyDescent="0.4">
      <c r="B21" s="102" t="s">
        <v>27</v>
      </c>
      <c r="C21" s="17" t="s">
        <v>4</v>
      </c>
      <c r="D21" s="18">
        <f>IF((D23-D20)&lt;=0,0,D23-D20)</f>
        <v>181</v>
      </c>
      <c r="E21" s="18">
        <f t="shared" ref="E21:I21" si="0">IF((E23-E20)&lt;=0,0,E23-E20)</f>
        <v>0</v>
      </c>
      <c r="F21" s="18">
        <f t="shared" si="0"/>
        <v>0</v>
      </c>
      <c r="G21" s="18">
        <f t="shared" si="0"/>
        <v>0</v>
      </c>
      <c r="H21" s="18">
        <f t="shared" si="0"/>
        <v>0</v>
      </c>
      <c r="I21" s="18">
        <f t="shared" si="0"/>
        <v>0</v>
      </c>
      <c r="J21" s="91">
        <f>SUM(D22:I22)</f>
        <v>1300676.909589041</v>
      </c>
    </row>
    <row r="22" spans="2:10" ht="18" thickBot="1" x14ac:dyDescent="0.45">
      <c r="B22" s="103"/>
      <c r="C22" s="19" t="s">
        <v>28</v>
      </c>
      <c r="D22" s="20">
        <f>D19*D21*E13/365</f>
        <v>1300676.909589041</v>
      </c>
      <c r="E22" s="20">
        <f>E19*E21*E13/365</f>
        <v>0</v>
      </c>
      <c r="F22" s="20">
        <f>F19*F21*E13/365</f>
        <v>0</v>
      </c>
      <c r="G22" s="20">
        <f>G19*G21*E13/365</f>
        <v>0</v>
      </c>
      <c r="H22" s="20">
        <f>H19*H21*E13/365</f>
        <v>0</v>
      </c>
      <c r="I22" s="20">
        <f>I19*I21*E13/365</f>
        <v>0</v>
      </c>
      <c r="J22" s="92"/>
    </row>
    <row r="23" spans="2:10" x14ac:dyDescent="0.4">
      <c r="B23" s="104" t="s">
        <v>29</v>
      </c>
      <c r="C23" s="21" t="s">
        <v>30</v>
      </c>
      <c r="D23" s="22">
        <f>IF(G14&gt;D20,G14,D20)</f>
        <v>45071</v>
      </c>
      <c r="E23" s="22">
        <f>IF(G14&gt;E20,G14,E20)</f>
        <v>45071</v>
      </c>
      <c r="F23" s="22">
        <f>IF(G14&gt;F20,G14,F20)</f>
        <v>45257</v>
      </c>
      <c r="G23" s="22">
        <f>IF(G14&gt;G20,G14,G20)</f>
        <v>45682</v>
      </c>
      <c r="H23" s="22">
        <f>IF(G14&gt;H20,G14,H20)</f>
        <v>45682</v>
      </c>
      <c r="I23" s="22">
        <f>IF(G14&gt;I20,G14,I20)</f>
        <v>45802</v>
      </c>
      <c r="J23" s="21" t="s">
        <v>19</v>
      </c>
    </row>
    <row r="24" spans="2:10" x14ac:dyDescent="0.4">
      <c r="B24" s="104"/>
      <c r="C24" s="23" t="s">
        <v>4</v>
      </c>
      <c r="D24" s="23">
        <f>IF((D26-D23)&lt;=0,0,D26-D23)</f>
        <v>184</v>
      </c>
      <c r="E24" s="23">
        <f t="shared" ref="E24:I24" si="1">IF((E26-E23)&lt;=0,0,E26-E23)</f>
        <v>184</v>
      </c>
      <c r="F24" s="23">
        <f t="shared" si="1"/>
        <v>0</v>
      </c>
      <c r="G24" s="23">
        <f t="shared" si="1"/>
        <v>0</v>
      </c>
      <c r="H24" s="23">
        <f t="shared" si="1"/>
        <v>0</v>
      </c>
      <c r="I24" s="23">
        <f t="shared" si="1"/>
        <v>0</v>
      </c>
      <c r="J24" s="93">
        <f>SUM(D25:I25)</f>
        <v>2409599.4739726027</v>
      </c>
    </row>
    <row r="25" spans="2:10" ht="18" thickBot="1" x14ac:dyDescent="0.45">
      <c r="B25" s="105"/>
      <c r="C25" s="24" t="s">
        <v>28</v>
      </c>
      <c r="D25" s="25">
        <f>D19*D24*D14/365</f>
        <v>1204799.7369863014</v>
      </c>
      <c r="E25" s="25">
        <f>E19*E24*D14/365</f>
        <v>1204799.7369863014</v>
      </c>
      <c r="F25" s="25">
        <f>F19*F24*D14/365</f>
        <v>0</v>
      </c>
      <c r="G25" s="25">
        <f>G19*G24*D14/365</f>
        <v>0</v>
      </c>
      <c r="H25" s="25">
        <f>H19*H24*D14/365</f>
        <v>0</v>
      </c>
      <c r="I25" s="25">
        <f>I19*I24*D14/365</f>
        <v>0</v>
      </c>
      <c r="J25" s="94"/>
    </row>
    <row r="26" spans="2:10" x14ac:dyDescent="0.4">
      <c r="B26" s="106" t="s">
        <v>31</v>
      </c>
      <c r="C26" s="26" t="s">
        <v>30</v>
      </c>
      <c r="D26" s="27">
        <f>IF(G15&gt;D20,G15,D20)</f>
        <v>45255</v>
      </c>
      <c r="E26" s="27">
        <f>IF(G15&gt;E20,G15,E20)</f>
        <v>45255</v>
      </c>
      <c r="F26" s="27">
        <f>IF(G15&gt;F20,G15,F20)</f>
        <v>45257</v>
      </c>
      <c r="G26" s="27">
        <f>IF(G15&gt;G20,G15,G20)</f>
        <v>45682</v>
      </c>
      <c r="H26" s="27">
        <f>IF(G15&gt;H20,G15,H20)</f>
        <v>45682</v>
      </c>
      <c r="I26" s="27">
        <f>IF(G15&gt;I20,G15,I20)</f>
        <v>45802</v>
      </c>
      <c r="J26" s="26" t="s">
        <v>21</v>
      </c>
    </row>
    <row r="27" spans="2:10" x14ac:dyDescent="0.4">
      <c r="B27" s="106"/>
      <c r="C27" s="28" t="s">
        <v>4</v>
      </c>
      <c r="D27" s="28">
        <f>IF((D29-D26)&lt;=0,0,D29-D26)</f>
        <v>182</v>
      </c>
      <c r="E27" s="28">
        <f t="shared" ref="E27:I27" si="2">IF((E29-E26)&lt;=0,0,E29-E26)</f>
        <v>182</v>
      </c>
      <c r="F27" s="28">
        <f t="shared" si="2"/>
        <v>180</v>
      </c>
      <c r="G27" s="28">
        <f t="shared" si="2"/>
        <v>0</v>
      </c>
      <c r="H27" s="28">
        <f t="shared" si="2"/>
        <v>0</v>
      </c>
      <c r="I27" s="28">
        <f t="shared" si="2"/>
        <v>0</v>
      </c>
      <c r="J27" s="95">
        <f>SUM(D28:I28)</f>
        <v>3902787.1561643835</v>
      </c>
    </row>
    <row r="28" spans="2:10" ht="18" thickBot="1" x14ac:dyDescent="0.45">
      <c r="B28" s="107"/>
      <c r="C28" s="29" t="s">
        <v>28</v>
      </c>
      <c r="D28" s="30">
        <f>D19*D27*D15/365</f>
        <v>1305711.8794520549</v>
      </c>
      <c r="E28" s="30">
        <f>E19*E27*D15/365</f>
        <v>1305711.8794520549</v>
      </c>
      <c r="F28" s="30">
        <f>F19*F27*D15/365</f>
        <v>1291363.397260274</v>
      </c>
      <c r="G28" s="30">
        <f>G19*G27*D15/365</f>
        <v>0</v>
      </c>
      <c r="H28" s="30">
        <f>H19*H27*D15/365</f>
        <v>0</v>
      </c>
      <c r="I28" s="30">
        <f>I19*I27*D15/365</f>
        <v>0</v>
      </c>
      <c r="J28" s="96"/>
    </row>
    <row r="29" spans="2:10" x14ac:dyDescent="0.4">
      <c r="B29" s="108" t="s">
        <v>32</v>
      </c>
      <c r="C29" s="31" t="s">
        <v>30</v>
      </c>
      <c r="D29" s="32">
        <f>IF(G16&gt;D20,G16,D20)</f>
        <v>45437</v>
      </c>
      <c r="E29" s="32">
        <f>IF(G16&gt;E20,G16,E20)</f>
        <v>45437</v>
      </c>
      <c r="F29" s="32">
        <f>IF(G16&gt;F20,G16,F20)</f>
        <v>45437</v>
      </c>
      <c r="G29" s="32">
        <f>IF(G16&gt;G20,G16,G20)</f>
        <v>45682</v>
      </c>
      <c r="H29" s="32">
        <f>IF(G16&gt;H20,G16,H20)</f>
        <v>45682</v>
      </c>
      <c r="I29" s="32">
        <f>IF(G16&gt;I20,G16,I20)</f>
        <v>45802</v>
      </c>
      <c r="J29" s="31" t="s">
        <v>22</v>
      </c>
    </row>
    <row r="30" spans="2:10" x14ac:dyDescent="0.4">
      <c r="B30" s="108"/>
      <c r="C30" s="33" t="s">
        <v>4</v>
      </c>
      <c r="D30" s="33">
        <f>IF((D32-D29)&lt;=0,0,D32-D29)</f>
        <v>184</v>
      </c>
      <c r="E30" s="33">
        <f t="shared" ref="E30:I30" si="3">IF((E32-E29)&lt;=0,0,E32-E29)</f>
        <v>184</v>
      </c>
      <c r="F30" s="33">
        <f t="shared" si="3"/>
        <v>184</v>
      </c>
      <c r="G30" s="33">
        <f t="shared" si="3"/>
        <v>0</v>
      </c>
      <c r="H30" s="33">
        <f t="shared" si="3"/>
        <v>0</v>
      </c>
      <c r="I30" s="33">
        <f t="shared" si="3"/>
        <v>0</v>
      </c>
      <c r="J30" s="97">
        <f>SUM(D31:I31)</f>
        <v>3679641.0739726024</v>
      </c>
    </row>
    <row r="31" spans="2:10" ht="18" thickBot="1" x14ac:dyDescent="0.45">
      <c r="B31" s="109"/>
      <c r="C31" s="34" t="s">
        <v>28</v>
      </c>
      <c r="D31" s="35">
        <f>D19*D30*D16/365</f>
        <v>1226547.0246575342</v>
      </c>
      <c r="E31" s="35">
        <f>E19*E30*D16/365</f>
        <v>1226547.0246575342</v>
      </c>
      <c r="F31" s="35">
        <f>F19*F30*D16/365</f>
        <v>1226547.0246575342</v>
      </c>
      <c r="G31" s="35">
        <f>G19*G30*D16/365</f>
        <v>0</v>
      </c>
      <c r="H31" s="35">
        <f>H19*H30*D16/365</f>
        <v>0</v>
      </c>
      <c r="I31" s="35">
        <f>I19*I30*D16/365</f>
        <v>0</v>
      </c>
      <c r="J31" s="98"/>
    </row>
    <row r="32" spans="2:10" x14ac:dyDescent="0.4">
      <c r="B32" s="88" t="s">
        <v>33</v>
      </c>
      <c r="C32" s="43" t="s">
        <v>30</v>
      </c>
      <c r="D32" s="37">
        <f>IF(G17&gt;D20,G17,D20)</f>
        <v>45621</v>
      </c>
      <c r="E32" s="37">
        <f>IF(G17&gt;E20,G17,E20)</f>
        <v>45621</v>
      </c>
      <c r="F32" s="37">
        <f>IF(G17&gt;F20,G17,F20)</f>
        <v>45621</v>
      </c>
      <c r="G32" s="37">
        <f>IF(G17&gt;G20,G17,G20)</f>
        <v>45682</v>
      </c>
      <c r="H32" s="37">
        <f>IF(G17&gt;H20,G17,H20)</f>
        <v>45682</v>
      </c>
      <c r="I32" s="37">
        <f>IF(G17&gt;I20,G17,I20)</f>
        <v>45802</v>
      </c>
      <c r="J32" s="36" t="s">
        <v>34</v>
      </c>
    </row>
    <row r="33" spans="2:10" x14ac:dyDescent="0.4">
      <c r="B33" s="89"/>
      <c r="C33" s="38" t="s">
        <v>4</v>
      </c>
      <c r="D33" s="38">
        <f>IF((D35-D32)&lt;=0,0,D35-D32)</f>
        <v>401</v>
      </c>
      <c r="E33" s="38">
        <f t="shared" ref="E33:I33" si="4">IF((E35-E32)&lt;=0,0,E35-E32)</f>
        <v>401</v>
      </c>
      <c r="F33" s="38">
        <f t="shared" si="4"/>
        <v>401</v>
      </c>
      <c r="G33" s="38">
        <f t="shared" si="4"/>
        <v>340</v>
      </c>
      <c r="H33" s="38">
        <f t="shared" si="4"/>
        <v>340</v>
      </c>
      <c r="I33" s="38">
        <f t="shared" si="4"/>
        <v>220</v>
      </c>
      <c r="J33" s="99">
        <f>SUM(D34:I34)</f>
        <v>13596085.134246573</v>
      </c>
    </row>
    <row r="34" spans="2:10" ht="18" thickBot="1" x14ac:dyDescent="0.45">
      <c r="B34" s="90"/>
      <c r="C34" s="39" t="s">
        <v>28</v>
      </c>
      <c r="D34" s="40">
        <f>D19*D33*D17/365</f>
        <v>2592501.2547945203</v>
      </c>
      <c r="E34" s="40">
        <f>E19*E33*D17/365</f>
        <v>2592501.2547945203</v>
      </c>
      <c r="F34" s="40">
        <f>F19*F33*D17/365</f>
        <v>2592501.2547945203</v>
      </c>
      <c r="G34" s="40">
        <f>G19*G33*D17/365</f>
        <v>2198130.7397260275</v>
      </c>
      <c r="H34" s="40">
        <f>H19*H33*D17/365</f>
        <v>2198130.7397260275</v>
      </c>
      <c r="I34" s="40">
        <f>I19*I33*D17/365</f>
        <v>1422319.8904109588</v>
      </c>
      <c r="J34" s="100"/>
    </row>
    <row r="35" spans="2:10" x14ac:dyDescent="0.4">
      <c r="B35" s="85" t="s">
        <v>3</v>
      </c>
      <c r="C35" s="85"/>
      <c r="D35" s="44">
        <f>E12</f>
        <v>46022</v>
      </c>
      <c r="E35" s="44">
        <f>E12</f>
        <v>46022</v>
      </c>
      <c r="F35" s="44">
        <f>E12</f>
        <v>46022</v>
      </c>
      <c r="G35" s="44">
        <f>E12</f>
        <v>46022</v>
      </c>
      <c r="H35" s="45">
        <f>E12</f>
        <v>46022</v>
      </c>
      <c r="I35" s="45">
        <f>E12</f>
        <v>46022</v>
      </c>
      <c r="J35" s="14"/>
    </row>
    <row r="36" spans="2:10" x14ac:dyDescent="0.4">
      <c r="C36" s="15"/>
      <c r="D36" s="16"/>
      <c r="E36" s="16"/>
      <c r="F36" s="16"/>
      <c r="G36" s="16"/>
      <c r="H36" s="86" t="s">
        <v>11</v>
      </c>
      <c r="I36" s="87"/>
      <c r="J36" s="3">
        <f>SUM(J21:J34)</f>
        <v>24888789.747945204</v>
      </c>
    </row>
  </sheetData>
  <mergeCells count="31">
    <mergeCell ref="B35:C35"/>
    <mergeCell ref="H36:I36"/>
    <mergeCell ref="B6:J7"/>
    <mergeCell ref="I9:J9"/>
    <mergeCell ref="B32:B34"/>
    <mergeCell ref="J21:J22"/>
    <mergeCell ref="J24:J25"/>
    <mergeCell ref="J27:J28"/>
    <mergeCell ref="J30:J31"/>
    <mergeCell ref="J33:J34"/>
    <mergeCell ref="B20:C20"/>
    <mergeCell ref="B21:B22"/>
    <mergeCell ref="B23:B25"/>
    <mergeCell ref="B26:B28"/>
    <mergeCell ref="B29:B31"/>
    <mergeCell ref="B17:C17"/>
    <mergeCell ref="E17:F17"/>
    <mergeCell ref="B18:C18"/>
    <mergeCell ref="B19:C19"/>
    <mergeCell ref="B14:C14"/>
    <mergeCell ref="E14:F14"/>
    <mergeCell ref="B15:C15"/>
    <mergeCell ref="E15:F15"/>
    <mergeCell ref="B16:C16"/>
    <mergeCell ref="E16:F16"/>
    <mergeCell ref="B11:D11"/>
    <mergeCell ref="E11:G11"/>
    <mergeCell ref="B13:D13"/>
    <mergeCell ref="E13:G13"/>
    <mergeCell ref="B12:D12"/>
    <mergeCell ref="E12:G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2016-12-12T09:54:56Z</cp:lastPrinted>
  <dcterms:created xsi:type="dcterms:W3CDTF">2016-12-12T06:24:30Z</dcterms:created>
  <dcterms:modified xsi:type="dcterms:W3CDTF">2025-01-14T03:06:44Z</dcterms:modified>
</cp:coreProperties>
</file>